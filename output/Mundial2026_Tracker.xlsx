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1" activeTab="6" autoFilterDateGrouping="1"/>
  </bookViews>
  <sheets>
    <sheet name="Fixture" sheetId="1" state="visible" r:id="rId1"/>
    <sheet name="Resultados" sheetId="2" state="visible" r:id="rId2"/>
    <sheet name="Equipos" sheetId="3" state="visible" r:id="rId3"/>
    <sheet name="Modelo" sheetId="4" state="visible" r:id="rId4"/>
    <sheet name="Predicciones" sheetId="5" state="visible" r:id="rId5"/>
    <sheet name="Tablas" sheetId="6" state="visible" r:id="rId6"/>
    <sheet name="Matrices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i val="1"/>
      <color rgb="FF808080"/>
      <sz val="9"/>
    </font>
    <font>
      <name val="Arial"/>
      <charset val="1"/>
      <b val="1"/>
      <sz val="11"/>
    </font>
    <font>
      <name val="Arial"/>
      <charset val="1"/>
      <color rgb="FF0000FF"/>
      <sz val="10"/>
    </font>
    <font>
      <name val="Arial"/>
      <charset val="1"/>
      <b val="1"/>
      <sz val="10"/>
    </font>
    <font>
      <name val="Calibri"/>
      <charset val="1"/>
      <family val="2"/>
      <sz val="8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2" fillId="0" borderId="1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164" fontId="0" fillId="4" borderId="0" pivotButton="0" quotePrefix="0" xfId="0"/>
    <xf numFmtId="0" fontId="2" fillId="0" borderId="0" applyAlignment="1" pivotButton="0" quotePrefix="0" xfId="0">
      <alignment horizontal="center"/>
    </xf>
    <xf numFmtId="0" fontId="2" fillId="3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5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A6A6A6"/>
      <rgbColor rgb="FF003366"/>
      <rgbColor rgb="FF70AD47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L105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4.25"/>
  <cols>
    <col width="10" customWidth="1" min="1" max="1"/>
    <col width="11" customWidth="1" min="2" max="2"/>
    <col width="9" customWidth="1" min="3" max="3"/>
    <col width="7" customWidth="1" min="4" max="4"/>
    <col width="20" customWidth="1" min="5" max="6"/>
    <col width="12" customWidth="1" min="7" max="7"/>
    <col width="22" customWidth="1" min="8" max="8"/>
    <col width="14" customWidth="1" min="9" max="9"/>
    <col width="9" customWidth="1" min="10" max="12"/>
  </cols>
  <sheetData>
    <row r="1" ht="15" customHeight="1">
      <c r="A1" s="1" t="inlineStr">
        <is>
          <t>ID_Partido</t>
        </is>
      </c>
      <c r="B1" s="1" t="inlineStr">
        <is>
          <t>Fecha</t>
        </is>
      </c>
      <c r="C1" s="1" t="inlineStr">
        <is>
          <t>Fase</t>
        </is>
      </c>
      <c r="D1" s="1" t="inlineStr">
        <is>
          <t>Grupo</t>
        </is>
      </c>
      <c r="E1" s="1" t="inlineStr">
        <is>
          <t>Equipo_A</t>
        </is>
      </c>
      <c r="F1" s="1" t="inlineStr">
        <is>
          <t>Equipo_B</t>
        </is>
      </c>
      <c r="G1" s="1" t="inlineStr">
        <is>
          <t>Estadio</t>
        </is>
      </c>
      <c r="H1" s="1" t="inlineStr">
        <is>
          <t>Ciudad</t>
        </is>
      </c>
      <c r="I1" s="1" t="inlineStr">
        <is>
          <t>Pais_Sede</t>
        </is>
      </c>
      <c r="J1" s="1" t="inlineStr">
        <is>
          <t>Localia_A</t>
        </is>
      </c>
      <c r="K1" s="1" t="inlineStr">
        <is>
          <t>Localia_B</t>
        </is>
      </c>
      <c r="L1" s="1" t="inlineStr">
        <is>
          <t>Num_FIFA</t>
        </is>
      </c>
    </row>
    <row r="2" ht="15" customHeight="1">
      <c r="A2" s="2" t="n">
        <v>1</v>
      </c>
      <c r="B2" s="2" t="inlineStr">
        <is>
          <t>2026-06-11</t>
        </is>
      </c>
      <c r="C2" s="2" t="inlineStr">
        <is>
          <t>Grupos</t>
        </is>
      </c>
      <c r="D2" s="2" t="inlineStr">
        <is>
          <t>A</t>
        </is>
      </c>
      <c r="E2" s="2" t="inlineStr">
        <is>
          <t>México</t>
        </is>
      </c>
      <c r="F2" s="2" t="inlineStr">
        <is>
          <t>Sudáfrica</t>
        </is>
      </c>
      <c r="G2" s="2" t="n"/>
      <c r="H2" s="2" t="inlineStr">
        <is>
          <t>Mexico City</t>
        </is>
      </c>
      <c r="I2" s="2" t="inlineStr">
        <is>
          <t>México</t>
        </is>
      </c>
      <c r="J2" s="2">
        <f>IF(OR(AND($E2="México",$I2="México"),AND($E2="Estados Unidos",$I2="Estados Unidos"),AND($E2="Canadá",$I2="Canadá")),1,0)</f>
        <v/>
      </c>
      <c r="K2" s="2">
        <f>IF(OR(AND($F2="México",$I2="México"),AND($F2="Estados Unidos",$I2="Estados Unidos"),AND($F2="Canadá",$I2="Canadá")),1,0)</f>
        <v/>
      </c>
      <c r="L2" s="2" t="n"/>
    </row>
    <row r="3" ht="15" customHeight="1">
      <c r="A3" s="2" t="n">
        <v>2</v>
      </c>
      <c r="B3" s="2" t="inlineStr">
        <is>
          <t>2026-06-11</t>
        </is>
      </c>
      <c r="C3" s="2" t="inlineStr">
        <is>
          <t>Grupos</t>
        </is>
      </c>
      <c r="D3" s="2" t="inlineStr">
        <is>
          <t>A</t>
        </is>
      </c>
      <c r="E3" s="2" t="inlineStr">
        <is>
          <t>Corea del Sur</t>
        </is>
      </c>
      <c r="F3" s="2" t="inlineStr">
        <is>
          <t>Chequia</t>
        </is>
      </c>
      <c r="G3" s="2" t="n"/>
      <c r="H3" s="2" t="inlineStr">
        <is>
          <t>Guadalajara (Zapopan)</t>
        </is>
      </c>
      <c r="I3" s="2" t="inlineStr">
        <is>
          <t>México</t>
        </is>
      </c>
      <c r="J3" s="2">
        <f>IF(OR(AND($E3="México",$I3="México"),AND($E3="Estados Unidos",$I3="Estados Unidos"),AND($E3="Canadá",$I3="Canadá")),1,0)</f>
        <v/>
      </c>
      <c r="K3" s="2">
        <f>IF(OR(AND($F3="México",$I3="México"),AND($F3="Estados Unidos",$I3="Estados Unidos"),AND($F3="Canadá",$I3="Canadá")),1,0)</f>
        <v/>
      </c>
      <c r="L3" s="2" t="n"/>
    </row>
    <row r="4" ht="15" customHeight="1">
      <c r="A4" s="2" t="n">
        <v>3</v>
      </c>
      <c r="B4" s="2" t="inlineStr">
        <is>
          <t>2026-06-12</t>
        </is>
      </c>
      <c r="C4" s="2" t="inlineStr">
        <is>
          <t>Grupos</t>
        </is>
      </c>
      <c r="D4" s="2" t="inlineStr">
        <is>
          <t>B</t>
        </is>
      </c>
      <c r="E4" s="2" t="inlineStr">
        <is>
          <t>Canadá</t>
        </is>
      </c>
      <c r="F4" s="2" t="inlineStr">
        <is>
          <t>Bosnia y Herzegovina</t>
        </is>
      </c>
      <c r="G4" s="2" t="n"/>
      <c r="H4" s="2" t="inlineStr">
        <is>
          <t>Toronto</t>
        </is>
      </c>
      <c r="I4" s="2" t="inlineStr">
        <is>
          <t>Canadá</t>
        </is>
      </c>
      <c r="J4" s="2">
        <f>IF(OR(AND($E4="México",$I4="México"),AND($E4="Estados Unidos",$I4="Estados Unidos"),AND($E4="Canadá",$I4="Canadá")),1,0)</f>
        <v/>
      </c>
      <c r="K4" s="2">
        <f>IF(OR(AND($F4="México",$I4="México"),AND($F4="Estados Unidos",$I4="Estados Unidos"),AND($F4="Canadá",$I4="Canadá")),1,0)</f>
        <v/>
      </c>
      <c r="L4" s="2" t="n"/>
    </row>
    <row r="5" ht="15" customHeight="1">
      <c r="A5" s="2" t="n">
        <v>4</v>
      </c>
      <c r="B5" s="2" t="inlineStr">
        <is>
          <t>2026-06-12</t>
        </is>
      </c>
      <c r="C5" s="2" t="inlineStr">
        <is>
          <t>Grupos</t>
        </is>
      </c>
      <c r="D5" s="2" t="inlineStr">
        <is>
          <t>D</t>
        </is>
      </c>
      <c r="E5" s="2" t="inlineStr">
        <is>
          <t>Estados Unidos</t>
        </is>
      </c>
      <c r="F5" s="2" t="inlineStr">
        <is>
          <t>Paraguay</t>
        </is>
      </c>
      <c r="G5" s="2" t="n"/>
      <c r="H5" s="2" t="inlineStr">
        <is>
          <t>Los Angeles (Inglewood)</t>
        </is>
      </c>
      <c r="I5" s="2" t="inlineStr">
        <is>
          <t>Estados Unidos</t>
        </is>
      </c>
      <c r="J5" s="2">
        <f>IF(OR(AND($E5="México",$I5="México"),AND($E5="Estados Unidos",$I5="Estados Unidos"),AND($E5="Canadá",$I5="Canadá")),1,0)</f>
        <v/>
      </c>
      <c r="K5" s="2">
        <f>IF(OR(AND($F5="México",$I5="México"),AND($F5="Estados Unidos",$I5="Estados Unidos"),AND($F5="Canadá",$I5="Canadá")),1,0)</f>
        <v/>
      </c>
      <c r="L5" s="2" t="n"/>
    </row>
    <row r="6" ht="15" customHeight="1">
      <c r="A6" s="2" t="n">
        <v>5</v>
      </c>
      <c r="B6" s="2" t="inlineStr">
        <is>
          <t>2026-06-13</t>
        </is>
      </c>
      <c r="C6" s="2" t="inlineStr">
        <is>
          <t>Grupos</t>
        </is>
      </c>
      <c r="D6" s="2" t="inlineStr">
        <is>
          <t>B</t>
        </is>
      </c>
      <c r="E6" s="2" t="inlineStr">
        <is>
          <t>Qatar</t>
        </is>
      </c>
      <c r="F6" s="2" t="inlineStr">
        <is>
          <t>Suiza</t>
        </is>
      </c>
      <c r="G6" s="2" t="n"/>
      <c r="H6" s="2" t="inlineStr">
        <is>
          <t>San Francisco Bay Area (Santa Clara)</t>
        </is>
      </c>
      <c r="I6" s="2" t="inlineStr">
        <is>
          <t>Estados Unidos</t>
        </is>
      </c>
      <c r="J6" s="2">
        <f>IF(OR(AND($E6="México",$I6="México"),AND($E6="Estados Unidos",$I6="Estados Unidos"),AND($E6="Canadá",$I6="Canadá")),1,0)</f>
        <v/>
      </c>
      <c r="K6" s="2">
        <f>IF(OR(AND($F6="México",$I6="México"),AND($F6="Estados Unidos",$I6="Estados Unidos"),AND($F6="Canadá",$I6="Canadá")),1,0)</f>
        <v/>
      </c>
      <c r="L6" s="2" t="n"/>
    </row>
    <row r="7" ht="15" customHeight="1">
      <c r="A7" s="2" t="n">
        <v>6</v>
      </c>
      <c r="B7" s="2" t="inlineStr">
        <is>
          <t>2026-06-13</t>
        </is>
      </c>
      <c r="C7" s="2" t="inlineStr">
        <is>
          <t>Grupos</t>
        </is>
      </c>
      <c r="D7" s="2" t="inlineStr">
        <is>
          <t>C</t>
        </is>
      </c>
      <c r="E7" s="2" t="inlineStr">
        <is>
          <t>Brasil</t>
        </is>
      </c>
      <c r="F7" s="2" t="inlineStr">
        <is>
          <t>Marruecos</t>
        </is>
      </c>
      <c r="G7" s="2" t="n"/>
      <c r="H7" s="2" t="inlineStr">
        <is>
          <t>New York/New Jersey (East Rutherford)</t>
        </is>
      </c>
      <c r="I7" s="2" t="inlineStr">
        <is>
          <t>Estados Unidos</t>
        </is>
      </c>
      <c r="J7" s="2">
        <f>IF(OR(AND($E7="México",$I7="México"),AND($E7="Estados Unidos",$I7="Estados Unidos"),AND($E7="Canadá",$I7="Canadá")),1,0)</f>
        <v/>
      </c>
      <c r="K7" s="2">
        <f>IF(OR(AND($F7="México",$I7="México"),AND($F7="Estados Unidos",$I7="Estados Unidos"),AND($F7="Canadá",$I7="Canadá")),1,0)</f>
        <v/>
      </c>
      <c r="L7" s="2" t="n"/>
    </row>
    <row r="8" ht="15" customHeight="1">
      <c r="A8" s="2" t="n">
        <v>7</v>
      </c>
      <c r="B8" s="2" t="inlineStr">
        <is>
          <t>2026-06-13</t>
        </is>
      </c>
      <c r="C8" s="2" t="inlineStr">
        <is>
          <t>Grupos</t>
        </is>
      </c>
      <c r="D8" s="2" t="inlineStr">
        <is>
          <t>C</t>
        </is>
      </c>
      <c r="E8" s="2" t="inlineStr">
        <is>
          <t>Haití</t>
        </is>
      </c>
      <c r="F8" s="2" t="inlineStr">
        <is>
          <t>Escocia</t>
        </is>
      </c>
      <c r="G8" s="2" t="n"/>
      <c r="H8" s="2" t="inlineStr">
        <is>
          <t>Boston (Foxborough)</t>
        </is>
      </c>
      <c r="I8" s="2" t="inlineStr">
        <is>
          <t>Estados Unidos</t>
        </is>
      </c>
      <c r="J8" s="2">
        <f>IF(OR(AND($E8="México",$I8="México"),AND($E8="Estados Unidos",$I8="Estados Unidos"),AND($E8="Canadá",$I8="Canadá")),1,0)</f>
        <v/>
      </c>
      <c r="K8" s="2">
        <f>IF(OR(AND($F8="México",$I8="México"),AND($F8="Estados Unidos",$I8="Estados Unidos"),AND($F8="Canadá",$I8="Canadá")),1,0)</f>
        <v/>
      </c>
      <c r="L8" s="2" t="n"/>
    </row>
    <row r="9" ht="15" customHeight="1">
      <c r="A9" s="2" t="n">
        <v>8</v>
      </c>
      <c r="B9" s="2" t="inlineStr">
        <is>
          <t>2026-06-13</t>
        </is>
      </c>
      <c r="C9" s="2" t="inlineStr">
        <is>
          <t>Grupos</t>
        </is>
      </c>
      <c r="D9" s="2" t="inlineStr">
        <is>
          <t>D</t>
        </is>
      </c>
      <c r="E9" s="2" t="inlineStr">
        <is>
          <t>Australia</t>
        </is>
      </c>
      <c r="F9" s="2" t="inlineStr">
        <is>
          <t>Turquía</t>
        </is>
      </c>
      <c r="G9" s="2" t="n"/>
      <c r="H9" s="2" t="inlineStr">
        <is>
          <t>Vancouver</t>
        </is>
      </c>
      <c r="I9" s="2" t="inlineStr">
        <is>
          <t>Canadá</t>
        </is>
      </c>
      <c r="J9" s="2">
        <f>IF(OR(AND($E9="México",$I9="México"),AND($E9="Estados Unidos",$I9="Estados Unidos"),AND($E9="Canadá",$I9="Canadá")),1,0)</f>
        <v/>
      </c>
      <c r="K9" s="2">
        <f>IF(OR(AND($F9="México",$I9="México"),AND($F9="Estados Unidos",$I9="Estados Unidos"),AND($F9="Canadá",$I9="Canadá")),1,0)</f>
        <v/>
      </c>
      <c r="L9" s="2" t="n"/>
    </row>
    <row r="10" ht="15" customHeight="1">
      <c r="A10" s="2" t="n">
        <v>9</v>
      </c>
      <c r="B10" s="2" t="inlineStr">
        <is>
          <t>2026-06-14</t>
        </is>
      </c>
      <c r="C10" s="2" t="inlineStr">
        <is>
          <t>Grupos</t>
        </is>
      </c>
      <c r="D10" s="2" t="inlineStr">
        <is>
          <t>E</t>
        </is>
      </c>
      <c r="E10" s="2" t="inlineStr">
        <is>
          <t>Alemania</t>
        </is>
      </c>
      <c r="F10" s="2" t="inlineStr">
        <is>
          <t>Curaçao</t>
        </is>
      </c>
      <c r="G10" s="2" t="n"/>
      <c r="H10" s="2" t="inlineStr">
        <is>
          <t>Houston</t>
        </is>
      </c>
      <c r="I10" s="2" t="inlineStr">
        <is>
          <t>Estados Unidos</t>
        </is>
      </c>
      <c r="J10" s="2">
        <f>IF(OR(AND($E10="México",$I10="México"),AND($E10="Estados Unidos",$I10="Estados Unidos"),AND($E10="Canadá",$I10="Canadá")),1,0)</f>
        <v/>
      </c>
      <c r="K10" s="2">
        <f>IF(OR(AND($F10="México",$I10="México"),AND($F10="Estados Unidos",$I10="Estados Unidos"),AND($F10="Canadá",$I10="Canadá")),1,0)</f>
        <v/>
      </c>
      <c r="L10" s="2" t="n"/>
    </row>
    <row r="11" ht="15" customHeight="1">
      <c r="A11" s="2" t="n">
        <v>10</v>
      </c>
      <c r="B11" s="2" t="inlineStr">
        <is>
          <t>2026-06-14</t>
        </is>
      </c>
      <c r="C11" s="2" t="inlineStr">
        <is>
          <t>Grupos</t>
        </is>
      </c>
      <c r="D11" s="2" t="inlineStr">
        <is>
          <t>F</t>
        </is>
      </c>
      <c r="E11" s="2" t="inlineStr">
        <is>
          <t>Países Bajos</t>
        </is>
      </c>
      <c r="F11" s="2" t="inlineStr">
        <is>
          <t>Japón</t>
        </is>
      </c>
      <c r="G11" s="2" t="n"/>
      <c r="H11" s="2" t="inlineStr">
        <is>
          <t>Dallas (Arlington)</t>
        </is>
      </c>
      <c r="I11" s="2" t="inlineStr">
        <is>
          <t>Estados Unidos</t>
        </is>
      </c>
      <c r="J11" s="2">
        <f>IF(OR(AND($E11="México",$I11="México"),AND($E11="Estados Unidos",$I11="Estados Unidos"),AND($E11="Canadá",$I11="Canadá")),1,0)</f>
        <v/>
      </c>
      <c r="K11" s="2">
        <f>IF(OR(AND($F11="México",$I11="México"),AND($F11="Estados Unidos",$I11="Estados Unidos"),AND($F11="Canadá",$I11="Canadá")),1,0)</f>
        <v/>
      </c>
      <c r="L11" s="2" t="n"/>
    </row>
    <row r="12" ht="15" customHeight="1">
      <c r="A12" s="2" t="n">
        <v>11</v>
      </c>
      <c r="B12" s="2" t="inlineStr">
        <is>
          <t>2026-06-14</t>
        </is>
      </c>
      <c r="C12" s="2" t="inlineStr">
        <is>
          <t>Grupos</t>
        </is>
      </c>
      <c r="D12" s="2" t="inlineStr">
        <is>
          <t>E</t>
        </is>
      </c>
      <c r="E12" s="2" t="inlineStr">
        <is>
          <t>Costa de Marfil</t>
        </is>
      </c>
      <c r="F12" s="2" t="inlineStr">
        <is>
          <t>Ecuador</t>
        </is>
      </c>
      <c r="G12" s="2" t="n"/>
      <c r="H12" s="2" t="inlineStr">
        <is>
          <t>Philadelphia</t>
        </is>
      </c>
      <c r="I12" s="2" t="inlineStr">
        <is>
          <t>Estados Unidos</t>
        </is>
      </c>
      <c r="J12" s="2">
        <f>IF(OR(AND($E12="México",$I12="México"),AND($E12="Estados Unidos",$I12="Estados Unidos"),AND($E12="Canadá",$I12="Canadá")),1,0)</f>
        <v/>
      </c>
      <c r="K12" s="2">
        <f>IF(OR(AND($F12="México",$I12="México"),AND($F12="Estados Unidos",$I12="Estados Unidos"),AND($F12="Canadá",$I12="Canadá")),1,0)</f>
        <v/>
      </c>
      <c r="L12" s="2" t="n"/>
    </row>
    <row r="13" ht="15" customHeight="1">
      <c r="A13" s="2" t="n">
        <v>12</v>
      </c>
      <c r="B13" s="2" t="inlineStr">
        <is>
          <t>2026-06-14</t>
        </is>
      </c>
      <c r="C13" s="2" t="inlineStr">
        <is>
          <t>Grupos</t>
        </is>
      </c>
      <c r="D13" s="2" t="inlineStr">
        <is>
          <t>F</t>
        </is>
      </c>
      <c r="E13" s="2" t="inlineStr">
        <is>
          <t>Suecia</t>
        </is>
      </c>
      <c r="F13" s="2" t="inlineStr">
        <is>
          <t>Túnez</t>
        </is>
      </c>
      <c r="G13" s="2" t="n"/>
      <c r="H13" s="2" t="inlineStr">
        <is>
          <t>Monterrey (Guadalupe)</t>
        </is>
      </c>
      <c r="I13" s="2" t="inlineStr">
        <is>
          <t>México</t>
        </is>
      </c>
      <c r="J13" s="2">
        <f>IF(OR(AND($E13="México",$I13="México"),AND($E13="Estados Unidos",$I13="Estados Unidos"),AND($E13="Canadá",$I13="Canadá")),1,0)</f>
        <v/>
      </c>
      <c r="K13" s="2">
        <f>IF(OR(AND($F13="México",$I13="México"),AND($F13="Estados Unidos",$I13="Estados Unidos"),AND($F13="Canadá",$I13="Canadá")),1,0)</f>
        <v/>
      </c>
      <c r="L13" s="2" t="n"/>
    </row>
    <row r="14" ht="15" customHeight="1">
      <c r="A14" s="2" t="n">
        <v>13</v>
      </c>
      <c r="B14" s="2" t="inlineStr">
        <is>
          <t>2026-06-15</t>
        </is>
      </c>
      <c r="C14" s="2" t="inlineStr">
        <is>
          <t>Grupos</t>
        </is>
      </c>
      <c r="D14" s="2" t="inlineStr">
        <is>
          <t>H</t>
        </is>
      </c>
      <c r="E14" s="2" t="inlineStr">
        <is>
          <t>España</t>
        </is>
      </c>
      <c r="F14" s="2" t="inlineStr">
        <is>
          <t>Cabo Verde</t>
        </is>
      </c>
      <c r="G14" s="2" t="n"/>
      <c r="H14" s="2" t="inlineStr">
        <is>
          <t>Atlanta</t>
        </is>
      </c>
      <c r="I14" s="2" t="inlineStr">
        <is>
          <t>Estados Unidos</t>
        </is>
      </c>
      <c r="J14" s="2">
        <f>IF(OR(AND($E14="México",$I14="México"),AND($E14="Estados Unidos",$I14="Estados Unidos"),AND($E14="Canadá",$I14="Canadá")),1,0)</f>
        <v/>
      </c>
      <c r="K14" s="2">
        <f>IF(OR(AND($F14="México",$I14="México"),AND($F14="Estados Unidos",$I14="Estados Unidos"),AND($F14="Canadá",$I14="Canadá")),1,0)</f>
        <v/>
      </c>
      <c r="L14" s="2" t="n"/>
    </row>
    <row r="15" ht="15" customHeight="1">
      <c r="A15" s="2" t="n">
        <v>14</v>
      </c>
      <c r="B15" s="2" t="inlineStr">
        <is>
          <t>2026-06-15</t>
        </is>
      </c>
      <c r="C15" s="2" t="inlineStr">
        <is>
          <t>Grupos</t>
        </is>
      </c>
      <c r="D15" s="2" t="inlineStr">
        <is>
          <t>G</t>
        </is>
      </c>
      <c r="E15" s="2" t="inlineStr">
        <is>
          <t>Bélgica</t>
        </is>
      </c>
      <c r="F15" s="2" t="inlineStr">
        <is>
          <t>Egipto</t>
        </is>
      </c>
      <c r="G15" s="2" t="n"/>
      <c r="H15" s="2" t="inlineStr">
        <is>
          <t>Seattle</t>
        </is>
      </c>
      <c r="I15" s="2" t="inlineStr">
        <is>
          <t>Estados Unidos</t>
        </is>
      </c>
      <c r="J15" s="2">
        <f>IF(OR(AND($E15="México",$I15="México"),AND($E15="Estados Unidos",$I15="Estados Unidos"),AND($E15="Canadá",$I15="Canadá")),1,0)</f>
        <v/>
      </c>
      <c r="K15" s="2">
        <f>IF(OR(AND($F15="México",$I15="México"),AND($F15="Estados Unidos",$I15="Estados Unidos"),AND($F15="Canadá",$I15="Canadá")),1,0)</f>
        <v/>
      </c>
      <c r="L15" s="2" t="n"/>
    </row>
    <row r="16" ht="15" customHeight="1">
      <c r="A16" s="2" t="n">
        <v>15</v>
      </c>
      <c r="B16" s="2" t="inlineStr">
        <is>
          <t>2026-06-15</t>
        </is>
      </c>
      <c r="C16" s="2" t="inlineStr">
        <is>
          <t>Grupos</t>
        </is>
      </c>
      <c r="D16" s="2" t="inlineStr">
        <is>
          <t>H</t>
        </is>
      </c>
      <c r="E16" s="2" t="inlineStr">
        <is>
          <t>Arabia Saudita</t>
        </is>
      </c>
      <c r="F16" s="2" t="inlineStr">
        <is>
          <t>Uruguay</t>
        </is>
      </c>
      <c r="G16" s="2" t="n"/>
      <c r="H16" s="2" t="inlineStr">
        <is>
          <t>Miami (Miami Gardens)</t>
        </is>
      </c>
      <c r="I16" s="2" t="inlineStr">
        <is>
          <t>Estados Unidos</t>
        </is>
      </c>
      <c r="J16" s="2">
        <f>IF(OR(AND($E16="México",$I16="México"),AND($E16="Estados Unidos",$I16="Estados Unidos"),AND($E16="Canadá",$I16="Canadá")),1,0)</f>
        <v/>
      </c>
      <c r="K16" s="2">
        <f>IF(OR(AND($F16="México",$I16="México"),AND($F16="Estados Unidos",$I16="Estados Unidos"),AND($F16="Canadá",$I16="Canadá")),1,0)</f>
        <v/>
      </c>
      <c r="L16" s="2" t="n"/>
    </row>
    <row r="17" ht="15" customHeight="1">
      <c r="A17" s="2" t="n">
        <v>16</v>
      </c>
      <c r="B17" s="2" t="inlineStr">
        <is>
          <t>2026-06-15</t>
        </is>
      </c>
      <c r="C17" s="2" t="inlineStr">
        <is>
          <t>Grupos</t>
        </is>
      </c>
      <c r="D17" s="2" t="inlineStr">
        <is>
          <t>G</t>
        </is>
      </c>
      <c r="E17" s="2" t="inlineStr">
        <is>
          <t>Irán</t>
        </is>
      </c>
      <c r="F17" s="2" t="inlineStr">
        <is>
          <t>Nueva Zelanda</t>
        </is>
      </c>
      <c r="G17" s="2" t="n"/>
      <c r="H17" s="2" t="inlineStr">
        <is>
          <t>Los Angeles (Inglewood)</t>
        </is>
      </c>
      <c r="I17" s="2" t="inlineStr">
        <is>
          <t>Estados Unidos</t>
        </is>
      </c>
      <c r="J17" s="2">
        <f>IF(OR(AND($E17="México",$I17="México"),AND($E17="Estados Unidos",$I17="Estados Unidos"),AND($E17="Canadá",$I17="Canadá")),1,0)</f>
        <v/>
      </c>
      <c r="K17" s="2">
        <f>IF(OR(AND($F17="México",$I17="México"),AND($F17="Estados Unidos",$I17="Estados Unidos"),AND($F17="Canadá",$I17="Canadá")),1,0)</f>
        <v/>
      </c>
      <c r="L17" s="2" t="n"/>
    </row>
    <row r="18" ht="15" customHeight="1">
      <c r="A18" s="2" t="n">
        <v>17</v>
      </c>
      <c r="B18" s="2" t="inlineStr">
        <is>
          <t>2026-06-16</t>
        </is>
      </c>
      <c r="C18" s="2" t="inlineStr">
        <is>
          <t>Grupos</t>
        </is>
      </c>
      <c r="D18" s="2" t="inlineStr">
        <is>
          <t>I</t>
        </is>
      </c>
      <c r="E18" s="2" t="inlineStr">
        <is>
          <t>Francia</t>
        </is>
      </c>
      <c r="F18" s="2" t="inlineStr">
        <is>
          <t>Senegal</t>
        </is>
      </c>
      <c r="G18" s="2" t="n"/>
      <c r="H18" s="2" t="inlineStr">
        <is>
          <t>New York/New Jersey (East Rutherford)</t>
        </is>
      </c>
      <c r="I18" s="2" t="inlineStr">
        <is>
          <t>Estados Unidos</t>
        </is>
      </c>
      <c r="J18" s="2">
        <f>IF(OR(AND($E18="México",$I18="México"),AND($E18="Estados Unidos",$I18="Estados Unidos"),AND($E18="Canadá",$I18="Canadá")),1,0)</f>
        <v/>
      </c>
      <c r="K18" s="2">
        <f>IF(OR(AND($F18="México",$I18="México"),AND($F18="Estados Unidos",$I18="Estados Unidos"),AND($F18="Canadá",$I18="Canadá")),1,0)</f>
        <v/>
      </c>
      <c r="L18" s="2" t="n"/>
    </row>
    <row r="19" ht="15" customHeight="1">
      <c r="A19" s="2" t="n">
        <v>18</v>
      </c>
      <c r="B19" s="2" t="inlineStr">
        <is>
          <t>2026-06-16</t>
        </is>
      </c>
      <c r="C19" s="2" t="inlineStr">
        <is>
          <t>Grupos</t>
        </is>
      </c>
      <c r="D19" s="2" t="inlineStr">
        <is>
          <t>I</t>
        </is>
      </c>
      <c r="E19" s="2" t="inlineStr">
        <is>
          <t>Irak</t>
        </is>
      </c>
      <c r="F19" s="2" t="inlineStr">
        <is>
          <t>Noruega</t>
        </is>
      </c>
      <c r="G19" s="2" t="n"/>
      <c r="H19" s="2" t="inlineStr">
        <is>
          <t>Boston (Foxborough)</t>
        </is>
      </c>
      <c r="I19" s="2" t="inlineStr">
        <is>
          <t>Estados Unidos</t>
        </is>
      </c>
      <c r="J19" s="2">
        <f>IF(OR(AND($E19="México",$I19="México"),AND($E19="Estados Unidos",$I19="Estados Unidos"),AND($E19="Canadá",$I19="Canadá")),1,0)</f>
        <v/>
      </c>
      <c r="K19" s="2">
        <f>IF(OR(AND($F19="México",$I19="México"),AND($F19="Estados Unidos",$I19="Estados Unidos"),AND($F19="Canadá",$I19="Canadá")),1,0)</f>
        <v/>
      </c>
      <c r="L19" s="2" t="n"/>
    </row>
    <row r="20" ht="15" customHeight="1">
      <c r="A20" s="2" t="n">
        <v>19</v>
      </c>
      <c r="B20" s="2" t="inlineStr">
        <is>
          <t>2026-06-16</t>
        </is>
      </c>
      <c r="C20" s="2" t="inlineStr">
        <is>
          <t>Grupos</t>
        </is>
      </c>
      <c r="D20" s="2" t="inlineStr">
        <is>
          <t>J</t>
        </is>
      </c>
      <c r="E20" s="2" t="inlineStr">
        <is>
          <t>Argentina</t>
        </is>
      </c>
      <c r="F20" s="2" t="inlineStr">
        <is>
          <t>Argelia</t>
        </is>
      </c>
      <c r="G20" s="2" t="n"/>
      <c r="H20" s="2" t="inlineStr">
        <is>
          <t>Kansas City</t>
        </is>
      </c>
      <c r="I20" s="2" t="inlineStr">
        <is>
          <t>Estados Unidos</t>
        </is>
      </c>
      <c r="J20" s="2">
        <f>IF(OR(AND($E20="México",$I20="México"),AND($E20="Estados Unidos",$I20="Estados Unidos"),AND($E20="Canadá",$I20="Canadá")),1,0)</f>
        <v/>
      </c>
      <c r="K20" s="2">
        <f>IF(OR(AND($F20="México",$I20="México"),AND($F20="Estados Unidos",$I20="Estados Unidos"),AND($F20="Canadá",$I20="Canadá")),1,0)</f>
        <v/>
      </c>
      <c r="L20" s="2" t="n"/>
    </row>
    <row r="21" ht="15" customHeight="1">
      <c r="A21" s="2" t="n">
        <v>20</v>
      </c>
      <c r="B21" s="2" t="inlineStr">
        <is>
          <t>2026-06-16</t>
        </is>
      </c>
      <c r="C21" s="2" t="inlineStr">
        <is>
          <t>Grupos</t>
        </is>
      </c>
      <c r="D21" s="2" t="inlineStr">
        <is>
          <t>J</t>
        </is>
      </c>
      <c r="E21" s="2" t="inlineStr">
        <is>
          <t>Austria</t>
        </is>
      </c>
      <c r="F21" s="2" t="inlineStr">
        <is>
          <t>Jordania</t>
        </is>
      </c>
      <c r="G21" s="2" t="n"/>
      <c r="H21" s="2" t="inlineStr">
        <is>
          <t>San Francisco Bay Area (Santa Clara)</t>
        </is>
      </c>
      <c r="I21" s="2" t="inlineStr">
        <is>
          <t>Estados Unidos</t>
        </is>
      </c>
      <c r="J21" s="2">
        <f>IF(OR(AND($E21="México",$I21="México"),AND($E21="Estados Unidos",$I21="Estados Unidos"),AND($E21="Canadá",$I21="Canadá")),1,0)</f>
        <v/>
      </c>
      <c r="K21" s="2">
        <f>IF(OR(AND($F21="México",$I21="México"),AND($F21="Estados Unidos",$I21="Estados Unidos"),AND($F21="Canadá",$I21="Canadá")),1,0)</f>
        <v/>
      </c>
      <c r="L21" s="2" t="n"/>
    </row>
    <row r="22" ht="15" customHeight="1">
      <c r="A22" s="2" t="n">
        <v>21</v>
      </c>
      <c r="B22" s="2" t="inlineStr">
        <is>
          <t>2026-06-17</t>
        </is>
      </c>
      <c r="C22" s="2" t="inlineStr">
        <is>
          <t>Grupos</t>
        </is>
      </c>
      <c r="D22" s="2" t="inlineStr">
        <is>
          <t>K</t>
        </is>
      </c>
      <c r="E22" s="2" t="inlineStr">
        <is>
          <t>Portugal</t>
        </is>
      </c>
      <c r="F22" s="2" t="inlineStr">
        <is>
          <t>RD Congo</t>
        </is>
      </c>
      <c r="G22" s="2" t="n"/>
      <c r="H22" s="2" t="inlineStr">
        <is>
          <t>Houston</t>
        </is>
      </c>
      <c r="I22" s="2" t="inlineStr">
        <is>
          <t>Estados Unidos</t>
        </is>
      </c>
      <c r="J22" s="2">
        <f>IF(OR(AND($E22="México",$I22="México"),AND($E22="Estados Unidos",$I22="Estados Unidos"),AND($E22="Canadá",$I22="Canadá")),1,0)</f>
        <v/>
      </c>
      <c r="K22" s="2">
        <f>IF(OR(AND($F22="México",$I22="México"),AND($F22="Estados Unidos",$I22="Estados Unidos"),AND($F22="Canadá",$I22="Canadá")),1,0)</f>
        <v/>
      </c>
      <c r="L22" s="2" t="n"/>
    </row>
    <row r="23" ht="15" customHeight="1">
      <c r="A23" s="2" t="n">
        <v>22</v>
      </c>
      <c r="B23" s="2" t="inlineStr">
        <is>
          <t>2026-06-17</t>
        </is>
      </c>
      <c r="C23" s="2" t="inlineStr">
        <is>
          <t>Grupos</t>
        </is>
      </c>
      <c r="D23" s="2" t="inlineStr">
        <is>
          <t>L</t>
        </is>
      </c>
      <c r="E23" s="2" t="inlineStr">
        <is>
          <t>Inglaterra</t>
        </is>
      </c>
      <c r="F23" s="2" t="inlineStr">
        <is>
          <t>Croacia</t>
        </is>
      </c>
      <c r="G23" s="2" t="n"/>
      <c r="H23" s="2" t="inlineStr">
        <is>
          <t>Dallas (Arlington)</t>
        </is>
      </c>
      <c r="I23" s="2" t="inlineStr">
        <is>
          <t>Estados Unidos</t>
        </is>
      </c>
      <c r="J23" s="2">
        <f>IF(OR(AND($E23="México",$I23="México"),AND($E23="Estados Unidos",$I23="Estados Unidos"),AND($E23="Canadá",$I23="Canadá")),1,0)</f>
        <v/>
      </c>
      <c r="K23" s="2">
        <f>IF(OR(AND($F23="México",$I23="México"),AND($F23="Estados Unidos",$I23="Estados Unidos"),AND($F23="Canadá",$I23="Canadá")),1,0)</f>
        <v/>
      </c>
      <c r="L23" s="2" t="n"/>
    </row>
    <row r="24" ht="15" customHeight="1">
      <c r="A24" s="2" t="n">
        <v>23</v>
      </c>
      <c r="B24" s="2" t="inlineStr">
        <is>
          <t>2026-06-17</t>
        </is>
      </c>
      <c r="C24" s="2" t="inlineStr">
        <is>
          <t>Grupos</t>
        </is>
      </c>
      <c r="D24" s="2" t="inlineStr">
        <is>
          <t>L</t>
        </is>
      </c>
      <c r="E24" s="2" t="inlineStr">
        <is>
          <t>Ghana</t>
        </is>
      </c>
      <c r="F24" s="2" t="inlineStr">
        <is>
          <t>Panamá</t>
        </is>
      </c>
      <c r="G24" s="2" t="n"/>
      <c r="H24" s="2" t="inlineStr">
        <is>
          <t>Toronto</t>
        </is>
      </c>
      <c r="I24" s="2" t="inlineStr">
        <is>
          <t>Canadá</t>
        </is>
      </c>
      <c r="J24" s="2">
        <f>IF(OR(AND($E24="México",$I24="México"),AND($E24="Estados Unidos",$I24="Estados Unidos"),AND($E24="Canadá",$I24="Canadá")),1,0)</f>
        <v/>
      </c>
      <c r="K24" s="2">
        <f>IF(OR(AND($F24="México",$I24="México"),AND($F24="Estados Unidos",$I24="Estados Unidos"),AND($F24="Canadá",$I24="Canadá")),1,0)</f>
        <v/>
      </c>
      <c r="L24" s="2" t="n"/>
    </row>
    <row r="25" ht="15" customHeight="1">
      <c r="A25" s="2" t="n">
        <v>24</v>
      </c>
      <c r="B25" s="2" t="inlineStr">
        <is>
          <t>2026-06-17</t>
        </is>
      </c>
      <c r="C25" s="2" t="inlineStr">
        <is>
          <t>Grupos</t>
        </is>
      </c>
      <c r="D25" s="2" t="inlineStr">
        <is>
          <t>K</t>
        </is>
      </c>
      <c r="E25" s="2" t="inlineStr">
        <is>
          <t>Uzbekistán</t>
        </is>
      </c>
      <c r="F25" s="2" t="inlineStr">
        <is>
          <t>Colombia</t>
        </is>
      </c>
      <c r="G25" s="2" t="n"/>
      <c r="H25" s="2" t="inlineStr">
        <is>
          <t>Mexico City</t>
        </is>
      </c>
      <c r="I25" s="2" t="inlineStr">
        <is>
          <t>México</t>
        </is>
      </c>
      <c r="J25" s="2">
        <f>IF(OR(AND($E25="México",$I25="México"),AND($E25="Estados Unidos",$I25="Estados Unidos"),AND($E25="Canadá",$I25="Canadá")),1,0)</f>
        <v/>
      </c>
      <c r="K25" s="2">
        <f>IF(OR(AND($F25="México",$I25="México"),AND($F25="Estados Unidos",$I25="Estados Unidos"),AND($F25="Canadá",$I25="Canadá")),1,0)</f>
        <v/>
      </c>
      <c r="L25" s="2" t="n"/>
    </row>
    <row r="26" ht="15" customHeight="1">
      <c r="A26" s="2" t="n">
        <v>25</v>
      </c>
      <c r="B26" s="2" t="inlineStr">
        <is>
          <t>2026-06-18</t>
        </is>
      </c>
      <c r="C26" s="2" t="inlineStr">
        <is>
          <t>Grupos</t>
        </is>
      </c>
      <c r="D26" s="2" t="inlineStr">
        <is>
          <t>A</t>
        </is>
      </c>
      <c r="E26" s="2" t="inlineStr">
        <is>
          <t>Chequia</t>
        </is>
      </c>
      <c r="F26" s="2" t="inlineStr">
        <is>
          <t>Sudáfrica</t>
        </is>
      </c>
      <c r="G26" s="2" t="n"/>
      <c r="H26" s="2" t="inlineStr">
        <is>
          <t>Atlanta</t>
        </is>
      </c>
      <c r="I26" s="2" t="inlineStr">
        <is>
          <t>Estados Unidos</t>
        </is>
      </c>
      <c r="J26" s="2">
        <f>IF(OR(AND($E26="México",$I26="México"),AND($E26="Estados Unidos",$I26="Estados Unidos"),AND($E26="Canadá",$I26="Canadá")),1,0)</f>
        <v/>
      </c>
      <c r="K26" s="2">
        <f>IF(OR(AND($F26="México",$I26="México"),AND($F26="Estados Unidos",$I26="Estados Unidos"),AND($F26="Canadá",$I26="Canadá")),1,0)</f>
        <v/>
      </c>
      <c r="L26" s="2" t="n"/>
    </row>
    <row r="27" ht="15" customHeight="1">
      <c r="A27" s="2" t="n">
        <v>26</v>
      </c>
      <c r="B27" s="2" t="inlineStr">
        <is>
          <t>2026-06-18</t>
        </is>
      </c>
      <c r="C27" s="2" t="inlineStr">
        <is>
          <t>Grupos</t>
        </is>
      </c>
      <c r="D27" s="2" t="inlineStr">
        <is>
          <t>B</t>
        </is>
      </c>
      <c r="E27" s="2" t="inlineStr">
        <is>
          <t>Suiza</t>
        </is>
      </c>
      <c r="F27" s="2" t="inlineStr">
        <is>
          <t>Bosnia y Herzegovina</t>
        </is>
      </c>
      <c r="G27" s="2" t="n"/>
      <c r="H27" s="2" t="inlineStr">
        <is>
          <t>Los Angeles (Inglewood)</t>
        </is>
      </c>
      <c r="I27" s="2" t="inlineStr">
        <is>
          <t>Estados Unidos</t>
        </is>
      </c>
      <c r="J27" s="2">
        <f>IF(OR(AND($E27="México",$I27="México"),AND($E27="Estados Unidos",$I27="Estados Unidos"),AND($E27="Canadá",$I27="Canadá")),1,0)</f>
        <v/>
      </c>
      <c r="K27" s="2">
        <f>IF(OR(AND($F27="México",$I27="México"),AND($F27="Estados Unidos",$I27="Estados Unidos"),AND($F27="Canadá",$I27="Canadá")),1,0)</f>
        <v/>
      </c>
      <c r="L27" s="2" t="n"/>
    </row>
    <row r="28" ht="15" customHeight="1">
      <c r="A28" s="2" t="n">
        <v>27</v>
      </c>
      <c r="B28" s="2" t="inlineStr">
        <is>
          <t>2026-06-18</t>
        </is>
      </c>
      <c r="C28" s="2" t="inlineStr">
        <is>
          <t>Grupos</t>
        </is>
      </c>
      <c r="D28" s="2" t="inlineStr">
        <is>
          <t>B</t>
        </is>
      </c>
      <c r="E28" s="2" t="inlineStr">
        <is>
          <t>Canadá</t>
        </is>
      </c>
      <c r="F28" s="2" t="inlineStr">
        <is>
          <t>Qatar</t>
        </is>
      </c>
      <c r="G28" s="2" t="n"/>
      <c r="H28" s="2" t="inlineStr">
        <is>
          <t>Vancouver</t>
        </is>
      </c>
      <c r="I28" s="2" t="inlineStr">
        <is>
          <t>Canadá</t>
        </is>
      </c>
      <c r="J28" s="2">
        <f>IF(OR(AND($E28="México",$I28="México"),AND($E28="Estados Unidos",$I28="Estados Unidos"),AND($E28="Canadá",$I28="Canadá")),1,0)</f>
        <v/>
      </c>
      <c r="K28" s="2">
        <f>IF(OR(AND($F28="México",$I28="México"),AND($F28="Estados Unidos",$I28="Estados Unidos"),AND($F28="Canadá",$I28="Canadá")),1,0)</f>
        <v/>
      </c>
      <c r="L28" s="2" t="n"/>
    </row>
    <row r="29" ht="15" customHeight="1">
      <c r="A29" s="2" t="n">
        <v>28</v>
      </c>
      <c r="B29" s="2" t="inlineStr">
        <is>
          <t>2026-06-18</t>
        </is>
      </c>
      <c r="C29" s="2" t="inlineStr">
        <is>
          <t>Grupos</t>
        </is>
      </c>
      <c r="D29" s="2" t="inlineStr">
        <is>
          <t>A</t>
        </is>
      </c>
      <c r="E29" s="2" t="inlineStr">
        <is>
          <t>México</t>
        </is>
      </c>
      <c r="F29" s="2" t="inlineStr">
        <is>
          <t>Corea del Sur</t>
        </is>
      </c>
      <c r="G29" s="2" t="n"/>
      <c r="H29" s="2" t="inlineStr">
        <is>
          <t>Guadalajara (Zapopan)</t>
        </is>
      </c>
      <c r="I29" s="2" t="inlineStr">
        <is>
          <t>México</t>
        </is>
      </c>
      <c r="J29" s="2">
        <f>IF(OR(AND($E29="México",$I29="México"),AND($E29="Estados Unidos",$I29="Estados Unidos"),AND($E29="Canadá",$I29="Canadá")),1,0)</f>
        <v/>
      </c>
      <c r="K29" s="2">
        <f>IF(OR(AND($F29="México",$I29="México"),AND($F29="Estados Unidos",$I29="Estados Unidos"),AND($F29="Canadá",$I29="Canadá")),1,0)</f>
        <v/>
      </c>
      <c r="L29" s="2" t="n"/>
    </row>
    <row r="30" ht="15" customHeight="1">
      <c r="A30" s="2" t="n">
        <v>29</v>
      </c>
      <c r="B30" s="2" t="inlineStr">
        <is>
          <t>2026-06-19</t>
        </is>
      </c>
      <c r="C30" s="2" t="inlineStr">
        <is>
          <t>Grupos</t>
        </is>
      </c>
      <c r="D30" s="2" t="inlineStr">
        <is>
          <t>D</t>
        </is>
      </c>
      <c r="E30" s="2" t="inlineStr">
        <is>
          <t>Estados Unidos</t>
        </is>
      </c>
      <c r="F30" s="2" t="inlineStr">
        <is>
          <t>Australia</t>
        </is>
      </c>
      <c r="G30" s="2" t="n"/>
      <c r="H30" s="2" t="inlineStr">
        <is>
          <t>Seattle</t>
        </is>
      </c>
      <c r="I30" s="2" t="inlineStr">
        <is>
          <t>Estados Unidos</t>
        </is>
      </c>
      <c r="J30" s="2">
        <f>IF(OR(AND($E30="México",$I30="México"),AND($E30="Estados Unidos",$I30="Estados Unidos"),AND($E30="Canadá",$I30="Canadá")),1,0)</f>
        <v/>
      </c>
      <c r="K30" s="2">
        <f>IF(OR(AND($F30="México",$I30="México"),AND($F30="Estados Unidos",$I30="Estados Unidos"),AND($F30="Canadá",$I30="Canadá")),1,0)</f>
        <v/>
      </c>
      <c r="L30" s="2" t="n"/>
    </row>
    <row r="31" ht="15" customHeight="1">
      <c r="A31" s="2" t="n">
        <v>30</v>
      </c>
      <c r="B31" s="2" t="inlineStr">
        <is>
          <t>2026-06-19</t>
        </is>
      </c>
      <c r="C31" s="2" t="inlineStr">
        <is>
          <t>Grupos</t>
        </is>
      </c>
      <c r="D31" s="2" t="inlineStr">
        <is>
          <t>C</t>
        </is>
      </c>
      <c r="E31" s="2" t="inlineStr">
        <is>
          <t>Escocia</t>
        </is>
      </c>
      <c r="F31" s="2" t="inlineStr">
        <is>
          <t>Marruecos</t>
        </is>
      </c>
      <c r="G31" s="2" t="n"/>
      <c r="H31" s="2" t="inlineStr">
        <is>
          <t>Boston (Foxborough)</t>
        </is>
      </c>
      <c r="I31" s="2" t="inlineStr">
        <is>
          <t>Estados Unidos</t>
        </is>
      </c>
      <c r="J31" s="2">
        <f>IF(OR(AND($E31="México",$I31="México"),AND($E31="Estados Unidos",$I31="Estados Unidos"),AND($E31="Canadá",$I31="Canadá")),1,0)</f>
        <v/>
      </c>
      <c r="K31" s="2">
        <f>IF(OR(AND($F31="México",$I31="México"),AND($F31="Estados Unidos",$I31="Estados Unidos"),AND($F31="Canadá",$I31="Canadá")),1,0)</f>
        <v/>
      </c>
      <c r="L31" s="2" t="n"/>
    </row>
    <row r="32" ht="15" customHeight="1">
      <c r="A32" s="2" t="n">
        <v>31</v>
      </c>
      <c r="B32" s="2" t="inlineStr">
        <is>
          <t>2026-06-19</t>
        </is>
      </c>
      <c r="C32" s="2" t="inlineStr">
        <is>
          <t>Grupos</t>
        </is>
      </c>
      <c r="D32" s="2" t="inlineStr">
        <is>
          <t>C</t>
        </is>
      </c>
      <c r="E32" s="2" t="inlineStr">
        <is>
          <t>Brasil</t>
        </is>
      </c>
      <c r="F32" s="2" t="inlineStr">
        <is>
          <t>Haití</t>
        </is>
      </c>
      <c r="G32" s="2" t="n"/>
      <c r="H32" s="2" t="inlineStr">
        <is>
          <t>Philadelphia</t>
        </is>
      </c>
      <c r="I32" s="2" t="inlineStr">
        <is>
          <t>Estados Unidos</t>
        </is>
      </c>
      <c r="J32" s="2">
        <f>IF(OR(AND($E32="México",$I32="México"),AND($E32="Estados Unidos",$I32="Estados Unidos"),AND($E32="Canadá",$I32="Canadá")),1,0)</f>
        <v/>
      </c>
      <c r="K32" s="2">
        <f>IF(OR(AND($F32="México",$I32="México"),AND($F32="Estados Unidos",$I32="Estados Unidos"),AND($F32="Canadá",$I32="Canadá")),1,0)</f>
        <v/>
      </c>
      <c r="L32" s="2" t="n"/>
    </row>
    <row r="33" ht="15" customHeight="1">
      <c r="A33" s="2" t="n">
        <v>32</v>
      </c>
      <c r="B33" s="2" t="inlineStr">
        <is>
          <t>2026-06-19</t>
        </is>
      </c>
      <c r="C33" s="2" t="inlineStr">
        <is>
          <t>Grupos</t>
        </is>
      </c>
      <c r="D33" s="2" t="inlineStr">
        <is>
          <t>D</t>
        </is>
      </c>
      <c r="E33" s="2" t="inlineStr">
        <is>
          <t>Turquía</t>
        </is>
      </c>
      <c r="F33" s="2" t="inlineStr">
        <is>
          <t>Paraguay</t>
        </is>
      </c>
      <c r="G33" s="2" t="n"/>
      <c r="H33" s="2" t="inlineStr">
        <is>
          <t>San Francisco Bay Area (Santa Clara)</t>
        </is>
      </c>
      <c r="I33" s="2" t="inlineStr">
        <is>
          <t>Estados Unidos</t>
        </is>
      </c>
      <c r="J33" s="2">
        <f>IF(OR(AND($E33="México",$I33="México"),AND($E33="Estados Unidos",$I33="Estados Unidos"),AND($E33="Canadá",$I33="Canadá")),1,0)</f>
        <v/>
      </c>
      <c r="K33" s="2">
        <f>IF(OR(AND($F33="México",$I33="México"),AND($F33="Estados Unidos",$I33="Estados Unidos"),AND($F33="Canadá",$I33="Canadá")),1,0)</f>
        <v/>
      </c>
      <c r="L33" s="2" t="n"/>
    </row>
    <row r="34" ht="15" customHeight="1">
      <c r="A34" s="2" t="n">
        <v>33</v>
      </c>
      <c r="B34" s="2" t="inlineStr">
        <is>
          <t>2026-06-20</t>
        </is>
      </c>
      <c r="C34" s="2" t="inlineStr">
        <is>
          <t>Grupos</t>
        </is>
      </c>
      <c r="D34" s="2" t="inlineStr">
        <is>
          <t>F</t>
        </is>
      </c>
      <c r="E34" s="2" t="inlineStr">
        <is>
          <t>Países Bajos</t>
        </is>
      </c>
      <c r="F34" s="2" t="inlineStr">
        <is>
          <t>Suecia</t>
        </is>
      </c>
      <c r="G34" s="2" t="n"/>
      <c r="H34" s="2" t="inlineStr">
        <is>
          <t>Houston</t>
        </is>
      </c>
      <c r="I34" s="2" t="inlineStr">
        <is>
          <t>Estados Unidos</t>
        </is>
      </c>
      <c r="J34" s="2">
        <f>IF(OR(AND($E34="México",$I34="México"),AND($E34="Estados Unidos",$I34="Estados Unidos"),AND($E34="Canadá",$I34="Canadá")),1,0)</f>
        <v/>
      </c>
      <c r="K34" s="2">
        <f>IF(OR(AND($F34="México",$I34="México"),AND($F34="Estados Unidos",$I34="Estados Unidos"),AND($F34="Canadá",$I34="Canadá")),1,0)</f>
        <v/>
      </c>
      <c r="L34" s="2" t="n"/>
    </row>
    <row r="35" ht="15" customHeight="1">
      <c r="A35" s="2" t="n">
        <v>34</v>
      </c>
      <c r="B35" s="2" t="inlineStr">
        <is>
          <t>2026-06-20</t>
        </is>
      </c>
      <c r="C35" s="2" t="inlineStr">
        <is>
          <t>Grupos</t>
        </is>
      </c>
      <c r="D35" s="2" t="inlineStr">
        <is>
          <t>E</t>
        </is>
      </c>
      <c r="E35" s="2" t="inlineStr">
        <is>
          <t>Alemania</t>
        </is>
      </c>
      <c r="F35" s="2" t="inlineStr">
        <is>
          <t>Costa de Marfil</t>
        </is>
      </c>
      <c r="G35" s="2" t="n"/>
      <c r="H35" s="2" t="inlineStr">
        <is>
          <t>Toronto</t>
        </is>
      </c>
      <c r="I35" s="2" t="inlineStr">
        <is>
          <t>Canadá</t>
        </is>
      </c>
      <c r="J35" s="2">
        <f>IF(OR(AND($E35="México",$I35="México"),AND($E35="Estados Unidos",$I35="Estados Unidos"),AND($E35="Canadá",$I35="Canadá")),1,0)</f>
        <v/>
      </c>
      <c r="K35" s="2">
        <f>IF(OR(AND($F35="México",$I35="México"),AND($F35="Estados Unidos",$I35="Estados Unidos"),AND($F35="Canadá",$I35="Canadá")),1,0)</f>
        <v/>
      </c>
      <c r="L35" s="2" t="n"/>
    </row>
    <row r="36" ht="15" customHeight="1">
      <c r="A36" s="2" t="n">
        <v>35</v>
      </c>
      <c r="B36" s="2" t="inlineStr">
        <is>
          <t>2026-06-20</t>
        </is>
      </c>
      <c r="C36" s="2" t="inlineStr">
        <is>
          <t>Grupos</t>
        </is>
      </c>
      <c r="D36" s="2" t="inlineStr">
        <is>
          <t>E</t>
        </is>
      </c>
      <c r="E36" s="2" t="inlineStr">
        <is>
          <t>Ecuador</t>
        </is>
      </c>
      <c r="F36" s="2" t="inlineStr">
        <is>
          <t>Curaçao</t>
        </is>
      </c>
      <c r="G36" s="2" t="n"/>
      <c r="H36" s="2" t="inlineStr">
        <is>
          <t>Kansas City</t>
        </is>
      </c>
      <c r="I36" s="2" t="inlineStr">
        <is>
          <t>Estados Unidos</t>
        </is>
      </c>
      <c r="J36" s="2">
        <f>IF(OR(AND($E36="México",$I36="México"),AND($E36="Estados Unidos",$I36="Estados Unidos"),AND($E36="Canadá",$I36="Canadá")),1,0)</f>
        <v/>
      </c>
      <c r="K36" s="2">
        <f>IF(OR(AND($F36="México",$I36="México"),AND($F36="Estados Unidos",$I36="Estados Unidos"),AND($F36="Canadá",$I36="Canadá")),1,0)</f>
        <v/>
      </c>
      <c r="L36" s="2" t="n"/>
    </row>
    <row r="37" ht="15" customHeight="1">
      <c r="A37" s="2" t="n">
        <v>36</v>
      </c>
      <c r="B37" s="2" t="inlineStr">
        <is>
          <t>2026-06-20</t>
        </is>
      </c>
      <c r="C37" s="2" t="inlineStr">
        <is>
          <t>Grupos</t>
        </is>
      </c>
      <c r="D37" s="2" t="inlineStr">
        <is>
          <t>F</t>
        </is>
      </c>
      <c r="E37" s="2" t="inlineStr">
        <is>
          <t>Túnez</t>
        </is>
      </c>
      <c r="F37" s="2" t="inlineStr">
        <is>
          <t>Japón</t>
        </is>
      </c>
      <c r="G37" s="2" t="n"/>
      <c r="H37" s="2" t="inlineStr">
        <is>
          <t>Monterrey (Guadalupe)</t>
        </is>
      </c>
      <c r="I37" s="2" t="inlineStr">
        <is>
          <t>México</t>
        </is>
      </c>
      <c r="J37" s="2">
        <f>IF(OR(AND($E37="México",$I37="México"),AND($E37="Estados Unidos",$I37="Estados Unidos"),AND($E37="Canadá",$I37="Canadá")),1,0)</f>
        <v/>
      </c>
      <c r="K37" s="2">
        <f>IF(OR(AND($F37="México",$I37="México"),AND($F37="Estados Unidos",$I37="Estados Unidos"),AND($F37="Canadá",$I37="Canadá")),1,0)</f>
        <v/>
      </c>
      <c r="L37" s="2" t="n"/>
    </row>
    <row r="38" ht="15" customHeight="1">
      <c r="A38" s="2" t="n">
        <v>37</v>
      </c>
      <c r="B38" s="2" t="inlineStr">
        <is>
          <t>2026-06-21</t>
        </is>
      </c>
      <c r="C38" s="2" t="inlineStr">
        <is>
          <t>Grupos</t>
        </is>
      </c>
      <c r="D38" s="2" t="inlineStr">
        <is>
          <t>H</t>
        </is>
      </c>
      <c r="E38" s="2" t="inlineStr">
        <is>
          <t>España</t>
        </is>
      </c>
      <c r="F38" s="2" t="inlineStr">
        <is>
          <t>Arabia Saudita</t>
        </is>
      </c>
      <c r="G38" s="2" t="n"/>
      <c r="H38" s="2" t="inlineStr">
        <is>
          <t>Atlanta</t>
        </is>
      </c>
      <c r="I38" s="2" t="inlineStr">
        <is>
          <t>Estados Unidos</t>
        </is>
      </c>
      <c r="J38" s="2">
        <f>IF(OR(AND($E38="México",$I38="México"),AND($E38="Estados Unidos",$I38="Estados Unidos"),AND($E38="Canadá",$I38="Canadá")),1,0)</f>
        <v/>
      </c>
      <c r="K38" s="2">
        <f>IF(OR(AND($F38="México",$I38="México"),AND($F38="Estados Unidos",$I38="Estados Unidos"),AND($F38="Canadá",$I38="Canadá")),1,0)</f>
        <v/>
      </c>
      <c r="L38" s="2" t="n"/>
    </row>
    <row r="39" ht="15" customHeight="1">
      <c r="A39" s="2" t="n">
        <v>38</v>
      </c>
      <c r="B39" s="2" t="inlineStr">
        <is>
          <t>2026-06-21</t>
        </is>
      </c>
      <c r="C39" s="2" t="inlineStr">
        <is>
          <t>Grupos</t>
        </is>
      </c>
      <c r="D39" s="2" t="inlineStr">
        <is>
          <t>G</t>
        </is>
      </c>
      <c r="E39" s="2" t="inlineStr">
        <is>
          <t>Bélgica</t>
        </is>
      </c>
      <c r="F39" s="2" t="inlineStr">
        <is>
          <t>Irán</t>
        </is>
      </c>
      <c r="G39" s="2" t="n"/>
      <c r="H39" s="2" t="inlineStr">
        <is>
          <t>Los Angeles (Inglewood)</t>
        </is>
      </c>
      <c r="I39" s="2" t="inlineStr">
        <is>
          <t>Estados Unidos</t>
        </is>
      </c>
      <c r="J39" s="2">
        <f>IF(OR(AND($E39="México",$I39="México"),AND($E39="Estados Unidos",$I39="Estados Unidos"),AND($E39="Canadá",$I39="Canadá")),1,0)</f>
        <v/>
      </c>
      <c r="K39" s="2">
        <f>IF(OR(AND($F39="México",$I39="México"),AND($F39="Estados Unidos",$I39="Estados Unidos"),AND($F39="Canadá",$I39="Canadá")),1,0)</f>
        <v/>
      </c>
      <c r="L39" s="2" t="n"/>
    </row>
    <row r="40" ht="15" customHeight="1">
      <c r="A40" s="2" t="n">
        <v>39</v>
      </c>
      <c r="B40" s="2" t="inlineStr">
        <is>
          <t>2026-06-21</t>
        </is>
      </c>
      <c r="C40" s="2" t="inlineStr">
        <is>
          <t>Grupos</t>
        </is>
      </c>
      <c r="D40" s="2" t="inlineStr">
        <is>
          <t>H</t>
        </is>
      </c>
      <c r="E40" s="2" t="inlineStr">
        <is>
          <t>Uruguay</t>
        </is>
      </c>
      <c r="F40" s="2" t="inlineStr">
        <is>
          <t>Cabo Verde</t>
        </is>
      </c>
      <c r="G40" s="2" t="n"/>
      <c r="H40" s="2" t="inlineStr">
        <is>
          <t>Miami (Miami Gardens)</t>
        </is>
      </c>
      <c r="I40" s="2" t="inlineStr">
        <is>
          <t>Estados Unidos</t>
        </is>
      </c>
      <c r="J40" s="2">
        <f>IF(OR(AND($E40="México",$I40="México"),AND($E40="Estados Unidos",$I40="Estados Unidos"),AND($E40="Canadá",$I40="Canadá")),1,0)</f>
        <v/>
      </c>
      <c r="K40" s="2">
        <f>IF(OR(AND($F40="México",$I40="México"),AND($F40="Estados Unidos",$I40="Estados Unidos"),AND($F40="Canadá",$I40="Canadá")),1,0)</f>
        <v/>
      </c>
      <c r="L40" s="2" t="n"/>
    </row>
    <row r="41" ht="15" customHeight="1">
      <c r="A41" s="2" t="n">
        <v>40</v>
      </c>
      <c r="B41" s="2" t="inlineStr">
        <is>
          <t>2026-06-21</t>
        </is>
      </c>
      <c r="C41" s="2" t="inlineStr">
        <is>
          <t>Grupos</t>
        </is>
      </c>
      <c r="D41" s="2" t="inlineStr">
        <is>
          <t>G</t>
        </is>
      </c>
      <c r="E41" s="2" t="inlineStr">
        <is>
          <t>Nueva Zelanda</t>
        </is>
      </c>
      <c r="F41" s="2" t="inlineStr">
        <is>
          <t>Egipto</t>
        </is>
      </c>
      <c r="G41" s="2" t="n"/>
      <c r="H41" s="2" t="inlineStr">
        <is>
          <t>Vancouver</t>
        </is>
      </c>
      <c r="I41" s="2" t="inlineStr">
        <is>
          <t>Canadá</t>
        </is>
      </c>
      <c r="J41" s="2">
        <f>IF(OR(AND($E41="México",$I41="México"),AND($E41="Estados Unidos",$I41="Estados Unidos"),AND($E41="Canadá",$I41="Canadá")),1,0)</f>
        <v/>
      </c>
      <c r="K41" s="2">
        <f>IF(OR(AND($F41="México",$I41="México"),AND($F41="Estados Unidos",$I41="Estados Unidos"),AND($F41="Canadá",$I41="Canadá")),1,0)</f>
        <v/>
      </c>
      <c r="L41" s="2" t="n"/>
    </row>
    <row r="42" ht="15" customHeight="1">
      <c r="A42" s="2" t="n">
        <v>41</v>
      </c>
      <c r="B42" s="2" t="inlineStr">
        <is>
          <t>2026-06-22</t>
        </is>
      </c>
      <c r="C42" s="2" t="inlineStr">
        <is>
          <t>Grupos</t>
        </is>
      </c>
      <c r="D42" s="2" t="inlineStr">
        <is>
          <t>J</t>
        </is>
      </c>
      <c r="E42" s="2" t="inlineStr">
        <is>
          <t>Argentina</t>
        </is>
      </c>
      <c r="F42" s="2" t="inlineStr">
        <is>
          <t>Austria</t>
        </is>
      </c>
      <c r="G42" s="2" t="n"/>
      <c r="H42" s="2" t="inlineStr">
        <is>
          <t>Dallas (Arlington)</t>
        </is>
      </c>
      <c r="I42" s="2" t="inlineStr">
        <is>
          <t>Estados Unidos</t>
        </is>
      </c>
      <c r="J42" s="2">
        <f>IF(OR(AND($E42="México",$I42="México"),AND($E42="Estados Unidos",$I42="Estados Unidos"),AND($E42="Canadá",$I42="Canadá")),1,0)</f>
        <v/>
      </c>
      <c r="K42" s="2">
        <f>IF(OR(AND($F42="México",$I42="México"),AND($F42="Estados Unidos",$I42="Estados Unidos"),AND($F42="Canadá",$I42="Canadá")),1,0)</f>
        <v/>
      </c>
      <c r="L42" s="2" t="n"/>
    </row>
    <row r="43" ht="15" customHeight="1">
      <c r="A43" s="2" t="n">
        <v>42</v>
      </c>
      <c r="B43" s="2" t="inlineStr">
        <is>
          <t>2026-06-22</t>
        </is>
      </c>
      <c r="C43" s="2" t="inlineStr">
        <is>
          <t>Grupos</t>
        </is>
      </c>
      <c r="D43" s="2" t="inlineStr">
        <is>
          <t>I</t>
        </is>
      </c>
      <c r="E43" s="2" t="inlineStr">
        <is>
          <t>Francia</t>
        </is>
      </c>
      <c r="F43" s="2" t="inlineStr">
        <is>
          <t>Irak</t>
        </is>
      </c>
      <c r="G43" s="2" t="n"/>
      <c r="H43" s="2" t="inlineStr">
        <is>
          <t>Philadelphia</t>
        </is>
      </c>
      <c r="I43" s="2" t="inlineStr">
        <is>
          <t>Estados Unidos</t>
        </is>
      </c>
      <c r="J43" s="2">
        <f>IF(OR(AND($E43="México",$I43="México"),AND($E43="Estados Unidos",$I43="Estados Unidos"),AND($E43="Canadá",$I43="Canadá")),1,0)</f>
        <v/>
      </c>
      <c r="K43" s="2">
        <f>IF(OR(AND($F43="México",$I43="México"),AND($F43="Estados Unidos",$I43="Estados Unidos"),AND($F43="Canadá",$I43="Canadá")),1,0)</f>
        <v/>
      </c>
      <c r="L43" s="2" t="n"/>
    </row>
    <row r="44" ht="15" customHeight="1">
      <c r="A44" s="2" t="n">
        <v>43</v>
      </c>
      <c r="B44" s="2" t="inlineStr">
        <is>
          <t>2026-06-22</t>
        </is>
      </c>
      <c r="C44" s="2" t="inlineStr">
        <is>
          <t>Grupos</t>
        </is>
      </c>
      <c r="D44" s="2" t="inlineStr">
        <is>
          <t>I</t>
        </is>
      </c>
      <c r="E44" s="2" t="inlineStr">
        <is>
          <t>Noruega</t>
        </is>
      </c>
      <c r="F44" s="2" t="inlineStr">
        <is>
          <t>Senegal</t>
        </is>
      </c>
      <c r="G44" s="2" t="n"/>
      <c r="H44" s="2" t="inlineStr">
        <is>
          <t>New York/New Jersey (East Rutherford)</t>
        </is>
      </c>
      <c r="I44" s="2" t="inlineStr">
        <is>
          <t>Estados Unidos</t>
        </is>
      </c>
      <c r="J44" s="2">
        <f>IF(OR(AND($E44="México",$I44="México"),AND($E44="Estados Unidos",$I44="Estados Unidos"),AND($E44="Canadá",$I44="Canadá")),1,0)</f>
        <v/>
      </c>
      <c r="K44" s="2">
        <f>IF(OR(AND($F44="México",$I44="México"),AND($F44="Estados Unidos",$I44="Estados Unidos"),AND($F44="Canadá",$I44="Canadá")),1,0)</f>
        <v/>
      </c>
      <c r="L44" s="2" t="n"/>
    </row>
    <row r="45" ht="15" customHeight="1">
      <c r="A45" s="2" t="n">
        <v>44</v>
      </c>
      <c r="B45" s="2" t="inlineStr">
        <is>
          <t>2026-06-22</t>
        </is>
      </c>
      <c r="C45" s="2" t="inlineStr">
        <is>
          <t>Grupos</t>
        </is>
      </c>
      <c r="D45" s="2" t="inlineStr">
        <is>
          <t>J</t>
        </is>
      </c>
      <c r="E45" s="2" t="inlineStr">
        <is>
          <t>Jordania</t>
        </is>
      </c>
      <c r="F45" s="2" t="inlineStr">
        <is>
          <t>Argelia</t>
        </is>
      </c>
      <c r="G45" s="2" t="n"/>
      <c r="H45" s="2" t="inlineStr">
        <is>
          <t>San Francisco Bay Area (Santa Clara)</t>
        </is>
      </c>
      <c r="I45" s="2" t="inlineStr">
        <is>
          <t>Estados Unidos</t>
        </is>
      </c>
      <c r="J45" s="2">
        <f>IF(OR(AND($E45="México",$I45="México"),AND($E45="Estados Unidos",$I45="Estados Unidos"),AND($E45="Canadá",$I45="Canadá")),1,0)</f>
        <v/>
      </c>
      <c r="K45" s="2">
        <f>IF(OR(AND($F45="México",$I45="México"),AND($F45="Estados Unidos",$I45="Estados Unidos"),AND($F45="Canadá",$I45="Canadá")),1,0)</f>
        <v/>
      </c>
      <c r="L45" s="2" t="n"/>
    </row>
    <row r="46" ht="15" customHeight="1">
      <c r="A46" s="2" t="n">
        <v>45</v>
      </c>
      <c r="B46" s="2" t="inlineStr">
        <is>
          <t>2026-06-23</t>
        </is>
      </c>
      <c r="C46" s="2" t="inlineStr">
        <is>
          <t>Grupos</t>
        </is>
      </c>
      <c r="D46" s="2" t="inlineStr">
        <is>
          <t>K</t>
        </is>
      </c>
      <c r="E46" s="2" t="inlineStr">
        <is>
          <t>Portugal</t>
        </is>
      </c>
      <c r="F46" s="2" t="inlineStr">
        <is>
          <t>Uzbekistán</t>
        </is>
      </c>
      <c r="G46" s="2" t="n"/>
      <c r="H46" s="2" t="inlineStr">
        <is>
          <t>Houston</t>
        </is>
      </c>
      <c r="I46" s="2" t="inlineStr">
        <is>
          <t>Estados Unidos</t>
        </is>
      </c>
      <c r="J46" s="2">
        <f>IF(OR(AND($E46="México",$I46="México"),AND($E46="Estados Unidos",$I46="Estados Unidos"),AND($E46="Canadá",$I46="Canadá")),1,0)</f>
        <v/>
      </c>
      <c r="K46" s="2">
        <f>IF(OR(AND($F46="México",$I46="México"),AND($F46="Estados Unidos",$I46="Estados Unidos"),AND($F46="Canadá",$I46="Canadá")),1,0)</f>
        <v/>
      </c>
      <c r="L46" s="2" t="n"/>
    </row>
    <row r="47" ht="15" customHeight="1">
      <c r="A47" s="2" t="n">
        <v>46</v>
      </c>
      <c r="B47" s="2" t="inlineStr">
        <is>
          <t>2026-06-23</t>
        </is>
      </c>
      <c r="C47" s="2" t="inlineStr">
        <is>
          <t>Grupos</t>
        </is>
      </c>
      <c r="D47" s="2" t="inlineStr">
        <is>
          <t>L</t>
        </is>
      </c>
      <c r="E47" s="2" t="inlineStr">
        <is>
          <t>Inglaterra</t>
        </is>
      </c>
      <c r="F47" s="2" t="inlineStr">
        <is>
          <t>Ghana</t>
        </is>
      </c>
      <c r="G47" s="2" t="n"/>
      <c r="H47" s="2" t="inlineStr">
        <is>
          <t>Boston (Foxborough)</t>
        </is>
      </c>
      <c r="I47" s="2" t="inlineStr">
        <is>
          <t>Estados Unidos</t>
        </is>
      </c>
      <c r="J47" s="2">
        <f>IF(OR(AND($E47="México",$I47="México"),AND($E47="Estados Unidos",$I47="Estados Unidos"),AND($E47="Canadá",$I47="Canadá")),1,0)</f>
        <v/>
      </c>
      <c r="K47" s="2">
        <f>IF(OR(AND($F47="México",$I47="México"),AND($F47="Estados Unidos",$I47="Estados Unidos"),AND($F47="Canadá",$I47="Canadá")),1,0)</f>
        <v/>
      </c>
      <c r="L47" s="2" t="n"/>
    </row>
    <row r="48" ht="15" customHeight="1">
      <c r="A48" s="2" t="n">
        <v>47</v>
      </c>
      <c r="B48" s="2" t="inlineStr">
        <is>
          <t>2026-06-23</t>
        </is>
      </c>
      <c r="C48" s="2" t="inlineStr">
        <is>
          <t>Grupos</t>
        </is>
      </c>
      <c r="D48" s="2" t="inlineStr">
        <is>
          <t>L</t>
        </is>
      </c>
      <c r="E48" s="2" t="inlineStr">
        <is>
          <t>Panamá</t>
        </is>
      </c>
      <c r="F48" s="2" t="inlineStr">
        <is>
          <t>Croacia</t>
        </is>
      </c>
      <c r="G48" s="2" t="n"/>
      <c r="H48" s="2" t="inlineStr">
        <is>
          <t>Toronto</t>
        </is>
      </c>
      <c r="I48" s="2" t="inlineStr">
        <is>
          <t>Canadá</t>
        </is>
      </c>
      <c r="J48" s="2">
        <f>IF(OR(AND($E48="México",$I48="México"),AND($E48="Estados Unidos",$I48="Estados Unidos"),AND($E48="Canadá",$I48="Canadá")),1,0)</f>
        <v/>
      </c>
      <c r="K48" s="2">
        <f>IF(OR(AND($F48="México",$I48="México"),AND($F48="Estados Unidos",$I48="Estados Unidos"),AND($F48="Canadá",$I48="Canadá")),1,0)</f>
        <v/>
      </c>
      <c r="L48" s="2" t="n"/>
    </row>
    <row r="49" ht="15" customHeight="1">
      <c r="A49" s="2" t="n">
        <v>48</v>
      </c>
      <c r="B49" s="2" t="inlineStr">
        <is>
          <t>2026-06-23</t>
        </is>
      </c>
      <c r="C49" s="2" t="inlineStr">
        <is>
          <t>Grupos</t>
        </is>
      </c>
      <c r="D49" s="2" t="inlineStr">
        <is>
          <t>K</t>
        </is>
      </c>
      <c r="E49" s="2" t="inlineStr">
        <is>
          <t>Colombia</t>
        </is>
      </c>
      <c r="F49" s="2" t="inlineStr">
        <is>
          <t>RD Congo</t>
        </is>
      </c>
      <c r="G49" s="2" t="n"/>
      <c r="H49" s="2" t="inlineStr">
        <is>
          <t>Guadalajara (Zapopan)</t>
        </is>
      </c>
      <c r="I49" s="2" t="inlineStr">
        <is>
          <t>México</t>
        </is>
      </c>
      <c r="J49" s="2">
        <f>IF(OR(AND($E49="México",$I49="México"),AND($E49="Estados Unidos",$I49="Estados Unidos"),AND($E49="Canadá",$I49="Canadá")),1,0)</f>
        <v/>
      </c>
      <c r="K49" s="2">
        <f>IF(OR(AND($F49="México",$I49="México"),AND($F49="Estados Unidos",$I49="Estados Unidos"),AND($F49="Canadá",$I49="Canadá")),1,0)</f>
        <v/>
      </c>
      <c r="L49" s="2" t="n"/>
    </row>
    <row r="50" ht="15" customHeight="1">
      <c r="A50" s="2" t="n">
        <v>49</v>
      </c>
      <c r="B50" s="2" t="inlineStr">
        <is>
          <t>2026-06-24</t>
        </is>
      </c>
      <c r="C50" s="2" t="inlineStr">
        <is>
          <t>Grupos</t>
        </is>
      </c>
      <c r="D50" s="2" t="inlineStr">
        <is>
          <t>B</t>
        </is>
      </c>
      <c r="E50" s="2" t="inlineStr">
        <is>
          <t>Suiza</t>
        </is>
      </c>
      <c r="F50" s="2" t="inlineStr">
        <is>
          <t>Canadá</t>
        </is>
      </c>
      <c r="G50" s="2" t="n"/>
      <c r="H50" s="2" t="inlineStr">
        <is>
          <t>Vancouver</t>
        </is>
      </c>
      <c r="I50" s="2" t="inlineStr">
        <is>
          <t>Canadá</t>
        </is>
      </c>
      <c r="J50" s="2">
        <f>IF(OR(AND($E50="México",$I50="México"),AND($E50="Estados Unidos",$I50="Estados Unidos"),AND($E50="Canadá",$I50="Canadá")),1,0)</f>
        <v/>
      </c>
      <c r="K50" s="2">
        <f>IF(OR(AND($F50="México",$I50="México"),AND($F50="Estados Unidos",$I50="Estados Unidos"),AND($F50="Canadá",$I50="Canadá")),1,0)</f>
        <v/>
      </c>
      <c r="L50" s="2" t="n"/>
    </row>
    <row r="51" ht="15" customHeight="1">
      <c r="A51" s="2" t="n">
        <v>50</v>
      </c>
      <c r="B51" s="2" t="inlineStr">
        <is>
          <t>2026-06-24</t>
        </is>
      </c>
      <c r="C51" s="2" t="inlineStr">
        <is>
          <t>Grupos</t>
        </is>
      </c>
      <c r="D51" s="2" t="inlineStr">
        <is>
          <t>B</t>
        </is>
      </c>
      <c r="E51" s="2" t="inlineStr">
        <is>
          <t>Bosnia y Herzegovina</t>
        </is>
      </c>
      <c r="F51" s="2" t="inlineStr">
        <is>
          <t>Qatar</t>
        </is>
      </c>
      <c r="G51" s="2" t="n"/>
      <c r="H51" s="2" t="inlineStr">
        <is>
          <t>Seattle</t>
        </is>
      </c>
      <c r="I51" s="2" t="inlineStr">
        <is>
          <t>Estados Unidos</t>
        </is>
      </c>
      <c r="J51" s="2">
        <f>IF(OR(AND($E51="México",$I51="México"),AND($E51="Estados Unidos",$I51="Estados Unidos"),AND($E51="Canadá",$I51="Canadá")),1,0)</f>
        <v/>
      </c>
      <c r="K51" s="2">
        <f>IF(OR(AND($F51="México",$I51="México"),AND($F51="Estados Unidos",$I51="Estados Unidos"),AND($F51="Canadá",$I51="Canadá")),1,0)</f>
        <v/>
      </c>
      <c r="L51" s="2" t="n"/>
    </row>
    <row r="52" ht="15" customHeight="1">
      <c r="A52" s="2" t="n">
        <v>51</v>
      </c>
      <c r="B52" s="2" t="inlineStr">
        <is>
          <t>2026-06-24</t>
        </is>
      </c>
      <c r="C52" s="2" t="inlineStr">
        <is>
          <t>Grupos</t>
        </is>
      </c>
      <c r="D52" s="2" t="inlineStr">
        <is>
          <t>C</t>
        </is>
      </c>
      <c r="E52" s="2" t="inlineStr">
        <is>
          <t>Escocia</t>
        </is>
      </c>
      <c r="F52" s="2" t="inlineStr">
        <is>
          <t>Brasil</t>
        </is>
      </c>
      <c r="G52" s="2" t="n"/>
      <c r="H52" s="2" t="inlineStr">
        <is>
          <t>Miami (Miami Gardens)</t>
        </is>
      </c>
      <c r="I52" s="2" t="inlineStr">
        <is>
          <t>Estados Unidos</t>
        </is>
      </c>
      <c r="J52" s="2">
        <f>IF(OR(AND($E52="México",$I52="México"),AND($E52="Estados Unidos",$I52="Estados Unidos"),AND($E52="Canadá",$I52="Canadá")),1,0)</f>
        <v/>
      </c>
      <c r="K52" s="2">
        <f>IF(OR(AND($F52="México",$I52="México"),AND($F52="Estados Unidos",$I52="Estados Unidos"),AND($F52="Canadá",$I52="Canadá")),1,0)</f>
        <v/>
      </c>
      <c r="L52" s="2" t="n"/>
    </row>
    <row r="53" ht="15" customHeight="1">
      <c r="A53" s="2" t="n">
        <v>52</v>
      </c>
      <c r="B53" s="2" t="inlineStr">
        <is>
          <t>2026-06-24</t>
        </is>
      </c>
      <c r="C53" s="2" t="inlineStr">
        <is>
          <t>Grupos</t>
        </is>
      </c>
      <c r="D53" s="2" t="inlineStr">
        <is>
          <t>C</t>
        </is>
      </c>
      <c r="E53" s="2" t="inlineStr">
        <is>
          <t>Marruecos</t>
        </is>
      </c>
      <c r="F53" s="2" t="inlineStr">
        <is>
          <t>Haití</t>
        </is>
      </c>
      <c r="G53" s="2" t="n"/>
      <c r="H53" s="2" t="inlineStr">
        <is>
          <t>Atlanta</t>
        </is>
      </c>
      <c r="I53" s="2" t="inlineStr">
        <is>
          <t>Estados Unidos</t>
        </is>
      </c>
      <c r="J53" s="2">
        <f>IF(OR(AND($E53="México",$I53="México"),AND($E53="Estados Unidos",$I53="Estados Unidos"),AND($E53="Canadá",$I53="Canadá")),1,0)</f>
        <v/>
      </c>
      <c r="K53" s="2">
        <f>IF(OR(AND($F53="México",$I53="México"),AND($F53="Estados Unidos",$I53="Estados Unidos"),AND($F53="Canadá",$I53="Canadá")),1,0)</f>
        <v/>
      </c>
      <c r="L53" s="2" t="n"/>
    </row>
    <row r="54" ht="15" customHeight="1">
      <c r="A54" s="2" t="n">
        <v>53</v>
      </c>
      <c r="B54" s="2" t="inlineStr">
        <is>
          <t>2026-06-24</t>
        </is>
      </c>
      <c r="C54" s="2" t="inlineStr">
        <is>
          <t>Grupos</t>
        </is>
      </c>
      <c r="D54" s="2" t="inlineStr">
        <is>
          <t>A</t>
        </is>
      </c>
      <c r="E54" s="2" t="inlineStr">
        <is>
          <t>Chequia</t>
        </is>
      </c>
      <c r="F54" s="2" t="inlineStr">
        <is>
          <t>México</t>
        </is>
      </c>
      <c r="G54" s="2" t="n"/>
      <c r="H54" s="2" t="inlineStr">
        <is>
          <t>Mexico City</t>
        </is>
      </c>
      <c r="I54" s="2" t="inlineStr">
        <is>
          <t>México</t>
        </is>
      </c>
      <c r="J54" s="2">
        <f>IF(OR(AND($E54="México",$I54="México"),AND($E54="Estados Unidos",$I54="Estados Unidos"),AND($E54="Canadá",$I54="Canadá")),1,0)</f>
        <v/>
      </c>
      <c r="K54" s="2">
        <f>IF(OR(AND($F54="México",$I54="México"),AND($F54="Estados Unidos",$I54="Estados Unidos"),AND($F54="Canadá",$I54="Canadá")),1,0)</f>
        <v/>
      </c>
      <c r="L54" s="2" t="n"/>
    </row>
    <row r="55" ht="15" customHeight="1">
      <c r="A55" s="2" t="n">
        <v>54</v>
      </c>
      <c r="B55" s="2" t="inlineStr">
        <is>
          <t>2026-06-24</t>
        </is>
      </c>
      <c r="C55" s="2" t="inlineStr">
        <is>
          <t>Grupos</t>
        </is>
      </c>
      <c r="D55" s="2" t="inlineStr">
        <is>
          <t>A</t>
        </is>
      </c>
      <c r="E55" s="2" t="inlineStr">
        <is>
          <t>Sudáfrica</t>
        </is>
      </c>
      <c r="F55" s="2" t="inlineStr">
        <is>
          <t>Corea del Sur</t>
        </is>
      </c>
      <c r="G55" s="2" t="n"/>
      <c r="H55" s="2" t="inlineStr">
        <is>
          <t>Monterrey (Guadalupe)</t>
        </is>
      </c>
      <c r="I55" s="2" t="inlineStr">
        <is>
          <t>México</t>
        </is>
      </c>
      <c r="J55" s="2">
        <f>IF(OR(AND($E55="México",$I55="México"),AND($E55="Estados Unidos",$I55="Estados Unidos"),AND($E55="Canadá",$I55="Canadá")),1,0)</f>
        <v/>
      </c>
      <c r="K55" s="2">
        <f>IF(OR(AND($F55="México",$I55="México"),AND($F55="Estados Unidos",$I55="Estados Unidos"),AND($F55="Canadá",$I55="Canadá")),1,0)</f>
        <v/>
      </c>
      <c r="L55" s="2" t="n"/>
    </row>
    <row r="56" ht="15" customHeight="1">
      <c r="A56" s="2" t="n">
        <v>55</v>
      </c>
      <c r="B56" s="2" t="inlineStr">
        <is>
          <t>2026-06-25</t>
        </is>
      </c>
      <c r="C56" s="2" t="inlineStr">
        <is>
          <t>Grupos</t>
        </is>
      </c>
      <c r="D56" s="2" t="inlineStr">
        <is>
          <t>E</t>
        </is>
      </c>
      <c r="E56" s="2" t="inlineStr">
        <is>
          <t>Curaçao</t>
        </is>
      </c>
      <c r="F56" s="2" t="inlineStr">
        <is>
          <t>Costa de Marfil</t>
        </is>
      </c>
      <c r="G56" s="2" t="n"/>
      <c r="H56" s="2" t="inlineStr">
        <is>
          <t>Philadelphia</t>
        </is>
      </c>
      <c r="I56" s="2" t="inlineStr">
        <is>
          <t>Estados Unidos</t>
        </is>
      </c>
      <c r="J56" s="2">
        <f>IF(OR(AND($E56="México",$I56="México"),AND($E56="Estados Unidos",$I56="Estados Unidos"),AND($E56="Canadá",$I56="Canadá")),1,0)</f>
        <v/>
      </c>
      <c r="K56" s="2">
        <f>IF(OR(AND($F56="México",$I56="México"),AND($F56="Estados Unidos",$I56="Estados Unidos"),AND($F56="Canadá",$I56="Canadá")),1,0)</f>
        <v/>
      </c>
      <c r="L56" s="2" t="n"/>
    </row>
    <row r="57" ht="15" customHeight="1">
      <c r="A57" s="2" t="n">
        <v>56</v>
      </c>
      <c r="B57" s="2" t="inlineStr">
        <is>
          <t>2026-06-25</t>
        </is>
      </c>
      <c r="C57" s="2" t="inlineStr">
        <is>
          <t>Grupos</t>
        </is>
      </c>
      <c r="D57" s="2" t="inlineStr">
        <is>
          <t>E</t>
        </is>
      </c>
      <c r="E57" s="2" t="inlineStr">
        <is>
          <t>Ecuador</t>
        </is>
      </c>
      <c r="F57" s="2" t="inlineStr">
        <is>
          <t>Alemania</t>
        </is>
      </c>
      <c r="G57" s="2" t="n"/>
      <c r="H57" s="2" t="inlineStr">
        <is>
          <t>New York/New Jersey (East Rutherford)</t>
        </is>
      </c>
      <c r="I57" s="2" t="inlineStr">
        <is>
          <t>Estados Unidos</t>
        </is>
      </c>
      <c r="J57" s="2">
        <f>IF(OR(AND($E57="México",$I57="México"),AND($E57="Estados Unidos",$I57="Estados Unidos"),AND($E57="Canadá",$I57="Canadá")),1,0)</f>
        <v/>
      </c>
      <c r="K57" s="2">
        <f>IF(OR(AND($F57="México",$I57="México"),AND($F57="Estados Unidos",$I57="Estados Unidos"),AND($F57="Canadá",$I57="Canadá")),1,0)</f>
        <v/>
      </c>
      <c r="L57" s="2" t="n"/>
    </row>
    <row r="58" ht="15" customHeight="1">
      <c r="A58" s="2" t="n">
        <v>57</v>
      </c>
      <c r="B58" s="2" t="inlineStr">
        <is>
          <t>2026-06-25</t>
        </is>
      </c>
      <c r="C58" s="2" t="inlineStr">
        <is>
          <t>Grupos</t>
        </is>
      </c>
      <c r="D58" s="2" t="inlineStr">
        <is>
          <t>F</t>
        </is>
      </c>
      <c r="E58" s="2" t="inlineStr">
        <is>
          <t>Japón</t>
        </is>
      </c>
      <c r="F58" s="2" t="inlineStr">
        <is>
          <t>Suecia</t>
        </is>
      </c>
      <c r="G58" s="2" t="n"/>
      <c r="H58" s="2" t="inlineStr">
        <is>
          <t>Dallas (Arlington)</t>
        </is>
      </c>
      <c r="I58" s="2" t="inlineStr">
        <is>
          <t>Estados Unidos</t>
        </is>
      </c>
      <c r="J58" s="2">
        <f>IF(OR(AND($E58="México",$I58="México"),AND($E58="Estados Unidos",$I58="Estados Unidos"),AND($E58="Canadá",$I58="Canadá")),1,0)</f>
        <v/>
      </c>
      <c r="K58" s="2">
        <f>IF(OR(AND($F58="México",$I58="México"),AND($F58="Estados Unidos",$I58="Estados Unidos"),AND($F58="Canadá",$I58="Canadá")),1,0)</f>
        <v/>
      </c>
      <c r="L58" s="2" t="n"/>
    </row>
    <row r="59" ht="15" customHeight="1">
      <c r="A59" s="2" t="n">
        <v>58</v>
      </c>
      <c r="B59" s="2" t="inlineStr">
        <is>
          <t>2026-06-25</t>
        </is>
      </c>
      <c r="C59" s="2" t="inlineStr">
        <is>
          <t>Grupos</t>
        </is>
      </c>
      <c r="D59" s="2" t="inlineStr">
        <is>
          <t>F</t>
        </is>
      </c>
      <c r="E59" s="2" t="inlineStr">
        <is>
          <t>Túnez</t>
        </is>
      </c>
      <c r="F59" s="2" t="inlineStr">
        <is>
          <t>Países Bajos</t>
        </is>
      </c>
      <c r="G59" s="2" t="n"/>
      <c r="H59" s="2" t="inlineStr">
        <is>
          <t>Kansas City</t>
        </is>
      </c>
      <c r="I59" s="2" t="inlineStr">
        <is>
          <t>Estados Unidos</t>
        </is>
      </c>
      <c r="J59" s="2">
        <f>IF(OR(AND($E59="México",$I59="México"),AND($E59="Estados Unidos",$I59="Estados Unidos"),AND($E59="Canadá",$I59="Canadá")),1,0)</f>
        <v/>
      </c>
      <c r="K59" s="2">
        <f>IF(OR(AND($F59="México",$I59="México"),AND($F59="Estados Unidos",$I59="Estados Unidos"),AND($F59="Canadá",$I59="Canadá")),1,0)</f>
        <v/>
      </c>
      <c r="L59" s="2" t="n"/>
    </row>
    <row r="60" ht="15" customHeight="1">
      <c r="A60" s="2" t="n">
        <v>59</v>
      </c>
      <c r="B60" s="2" t="inlineStr">
        <is>
          <t>2026-06-25</t>
        </is>
      </c>
      <c r="C60" s="2" t="inlineStr">
        <is>
          <t>Grupos</t>
        </is>
      </c>
      <c r="D60" s="2" t="inlineStr">
        <is>
          <t>D</t>
        </is>
      </c>
      <c r="E60" s="2" t="inlineStr">
        <is>
          <t>Turquía</t>
        </is>
      </c>
      <c r="F60" s="2" t="inlineStr">
        <is>
          <t>Estados Unidos</t>
        </is>
      </c>
      <c r="G60" s="2" t="n"/>
      <c r="H60" s="2" t="inlineStr">
        <is>
          <t>Los Angeles (Inglewood)</t>
        </is>
      </c>
      <c r="I60" s="2" t="inlineStr">
        <is>
          <t>Estados Unidos</t>
        </is>
      </c>
      <c r="J60" s="2">
        <f>IF(OR(AND($E60="México",$I60="México"),AND($E60="Estados Unidos",$I60="Estados Unidos"),AND($E60="Canadá",$I60="Canadá")),1,0)</f>
        <v/>
      </c>
      <c r="K60" s="2">
        <f>IF(OR(AND($F60="México",$I60="México"),AND($F60="Estados Unidos",$I60="Estados Unidos"),AND($F60="Canadá",$I60="Canadá")),1,0)</f>
        <v/>
      </c>
      <c r="L60" s="2" t="n"/>
    </row>
    <row r="61" ht="15" customHeight="1">
      <c r="A61" s="2" t="n">
        <v>60</v>
      </c>
      <c r="B61" s="2" t="inlineStr">
        <is>
          <t>2026-06-25</t>
        </is>
      </c>
      <c r="C61" s="2" t="inlineStr">
        <is>
          <t>Grupos</t>
        </is>
      </c>
      <c r="D61" s="2" t="inlineStr">
        <is>
          <t>D</t>
        </is>
      </c>
      <c r="E61" s="2" t="inlineStr">
        <is>
          <t>Paraguay</t>
        </is>
      </c>
      <c r="F61" s="2" t="inlineStr">
        <is>
          <t>Australia</t>
        </is>
      </c>
      <c r="G61" s="2" t="n"/>
      <c r="H61" s="2" t="inlineStr">
        <is>
          <t>San Francisco Bay Area (Santa Clara)</t>
        </is>
      </c>
      <c r="I61" s="2" t="inlineStr">
        <is>
          <t>Estados Unidos</t>
        </is>
      </c>
      <c r="J61" s="2">
        <f>IF(OR(AND($E61="México",$I61="México"),AND($E61="Estados Unidos",$I61="Estados Unidos"),AND($E61="Canadá",$I61="Canadá")),1,0)</f>
        <v/>
      </c>
      <c r="K61" s="2">
        <f>IF(OR(AND($F61="México",$I61="México"),AND($F61="Estados Unidos",$I61="Estados Unidos"),AND($F61="Canadá",$I61="Canadá")),1,0)</f>
        <v/>
      </c>
      <c r="L61" s="2" t="n"/>
    </row>
    <row r="62" ht="15" customHeight="1">
      <c r="A62" s="2" t="n">
        <v>61</v>
      </c>
      <c r="B62" s="2" t="inlineStr">
        <is>
          <t>2026-06-26</t>
        </is>
      </c>
      <c r="C62" s="2" t="inlineStr">
        <is>
          <t>Grupos</t>
        </is>
      </c>
      <c r="D62" s="2" t="inlineStr">
        <is>
          <t>I</t>
        </is>
      </c>
      <c r="E62" s="2" t="inlineStr">
        <is>
          <t>Noruega</t>
        </is>
      </c>
      <c r="F62" s="2" t="inlineStr">
        <is>
          <t>Francia</t>
        </is>
      </c>
      <c r="G62" s="2" t="n"/>
      <c r="H62" s="2" t="inlineStr">
        <is>
          <t>Boston (Foxborough)</t>
        </is>
      </c>
      <c r="I62" s="2" t="inlineStr">
        <is>
          <t>Estados Unidos</t>
        </is>
      </c>
      <c r="J62" s="2">
        <f>IF(OR(AND($E62="México",$I62="México"),AND($E62="Estados Unidos",$I62="Estados Unidos"),AND($E62="Canadá",$I62="Canadá")),1,0)</f>
        <v/>
      </c>
      <c r="K62" s="2">
        <f>IF(OR(AND($F62="México",$I62="México"),AND($F62="Estados Unidos",$I62="Estados Unidos"),AND($F62="Canadá",$I62="Canadá")),1,0)</f>
        <v/>
      </c>
      <c r="L62" s="2" t="n"/>
    </row>
    <row r="63" ht="15" customHeight="1">
      <c r="A63" s="2" t="n">
        <v>62</v>
      </c>
      <c r="B63" s="2" t="inlineStr">
        <is>
          <t>2026-06-26</t>
        </is>
      </c>
      <c r="C63" s="2" t="inlineStr">
        <is>
          <t>Grupos</t>
        </is>
      </c>
      <c r="D63" s="2" t="inlineStr">
        <is>
          <t>I</t>
        </is>
      </c>
      <c r="E63" s="2" t="inlineStr">
        <is>
          <t>Senegal</t>
        </is>
      </c>
      <c r="F63" s="2" t="inlineStr">
        <is>
          <t>Irak</t>
        </is>
      </c>
      <c r="G63" s="2" t="n"/>
      <c r="H63" s="2" t="inlineStr">
        <is>
          <t>Toronto</t>
        </is>
      </c>
      <c r="I63" s="2" t="inlineStr">
        <is>
          <t>Canadá</t>
        </is>
      </c>
      <c r="J63" s="2">
        <f>IF(OR(AND($E63="México",$I63="México"),AND($E63="Estados Unidos",$I63="Estados Unidos"),AND($E63="Canadá",$I63="Canadá")),1,0)</f>
        <v/>
      </c>
      <c r="K63" s="2">
        <f>IF(OR(AND($F63="México",$I63="México"),AND($F63="Estados Unidos",$I63="Estados Unidos"),AND($F63="Canadá",$I63="Canadá")),1,0)</f>
        <v/>
      </c>
      <c r="L63" s="2" t="n"/>
    </row>
    <row r="64" ht="15" customHeight="1">
      <c r="A64" s="2" t="n">
        <v>63</v>
      </c>
      <c r="B64" s="2" t="inlineStr">
        <is>
          <t>2026-06-26</t>
        </is>
      </c>
      <c r="C64" s="2" t="inlineStr">
        <is>
          <t>Grupos</t>
        </is>
      </c>
      <c r="D64" s="2" t="inlineStr">
        <is>
          <t>H</t>
        </is>
      </c>
      <c r="E64" s="2" t="inlineStr">
        <is>
          <t>Cabo Verde</t>
        </is>
      </c>
      <c r="F64" s="2" t="inlineStr">
        <is>
          <t>Arabia Saudita</t>
        </is>
      </c>
      <c r="G64" s="2" t="n"/>
      <c r="H64" s="2" t="inlineStr">
        <is>
          <t>Houston</t>
        </is>
      </c>
      <c r="I64" s="2" t="inlineStr">
        <is>
          <t>Estados Unidos</t>
        </is>
      </c>
      <c r="J64" s="2">
        <f>IF(OR(AND($E64="México",$I64="México"),AND($E64="Estados Unidos",$I64="Estados Unidos"),AND($E64="Canadá",$I64="Canadá")),1,0)</f>
        <v/>
      </c>
      <c r="K64" s="2">
        <f>IF(OR(AND($F64="México",$I64="México"),AND($F64="Estados Unidos",$I64="Estados Unidos"),AND($F64="Canadá",$I64="Canadá")),1,0)</f>
        <v/>
      </c>
      <c r="L64" s="2" t="n"/>
    </row>
    <row r="65" ht="15" customHeight="1">
      <c r="A65" s="2" t="n">
        <v>64</v>
      </c>
      <c r="B65" s="2" t="inlineStr">
        <is>
          <t>2026-06-26</t>
        </is>
      </c>
      <c r="C65" s="2" t="inlineStr">
        <is>
          <t>Grupos</t>
        </is>
      </c>
      <c r="D65" s="2" t="inlineStr">
        <is>
          <t>H</t>
        </is>
      </c>
      <c r="E65" s="2" t="inlineStr">
        <is>
          <t>Uruguay</t>
        </is>
      </c>
      <c r="F65" s="2" t="inlineStr">
        <is>
          <t>España</t>
        </is>
      </c>
      <c r="G65" s="2" t="n"/>
      <c r="H65" s="2" t="inlineStr">
        <is>
          <t>Guadalajara (Zapopan)</t>
        </is>
      </c>
      <c r="I65" s="2" t="inlineStr">
        <is>
          <t>México</t>
        </is>
      </c>
      <c r="J65" s="2">
        <f>IF(OR(AND($E65="México",$I65="México"),AND($E65="Estados Unidos",$I65="Estados Unidos"),AND($E65="Canadá",$I65="Canadá")),1,0)</f>
        <v/>
      </c>
      <c r="K65" s="2">
        <f>IF(OR(AND($F65="México",$I65="México"),AND($F65="Estados Unidos",$I65="Estados Unidos"),AND($F65="Canadá",$I65="Canadá")),1,0)</f>
        <v/>
      </c>
      <c r="L65" s="2" t="n"/>
    </row>
    <row r="66" ht="15" customHeight="1">
      <c r="A66" s="2" t="n">
        <v>65</v>
      </c>
      <c r="B66" s="2" t="inlineStr">
        <is>
          <t>2026-06-26</t>
        </is>
      </c>
      <c r="C66" s="2" t="inlineStr">
        <is>
          <t>Grupos</t>
        </is>
      </c>
      <c r="D66" s="2" t="inlineStr">
        <is>
          <t>G</t>
        </is>
      </c>
      <c r="E66" s="2" t="inlineStr">
        <is>
          <t>Egipto</t>
        </is>
      </c>
      <c r="F66" s="2" t="inlineStr">
        <is>
          <t>Irán</t>
        </is>
      </c>
      <c r="G66" s="2" t="n"/>
      <c r="H66" s="2" t="inlineStr">
        <is>
          <t>Seattle</t>
        </is>
      </c>
      <c r="I66" s="2" t="inlineStr">
        <is>
          <t>Estados Unidos</t>
        </is>
      </c>
      <c r="J66" s="2">
        <f>IF(OR(AND($E66="México",$I66="México"),AND($E66="Estados Unidos",$I66="Estados Unidos"),AND($E66="Canadá",$I66="Canadá")),1,0)</f>
        <v/>
      </c>
      <c r="K66" s="2">
        <f>IF(OR(AND($F66="México",$I66="México"),AND($F66="Estados Unidos",$I66="Estados Unidos"),AND($F66="Canadá",$I66="Canadá")),1,0)</f>
        <v/>
      </c>
      <c r="L66" s="2" t="n"/>
    </row>
    <row r="67" ht="15" customHeight="1">
      <c r="A67" s="2" t="n">
        <v>66</v>
      </c>
      <c r="B67" s="2" t="inlineStr">
        <is>
          <t>2026-06-26</t>
        </is>
      </c>
      <c r="C67" s="2" t="inlineStr">
        <is>
          <t>Grupos</t>
        </is>
      </c>
      <c r="D67" s="2" t="inlineStr">
        <is>
          <t>G</t>
        </is>
      </c>
      <c r="E67" s="2" t="inlineStr">
        <is>
          <t>Nueva Zelanda</t>
        </is>
      </c>
      <c r="F67" s="2" t="inlineStr">
        <is>
          <t>Bélgica</t>
        </is>
      </c>
      <c r="G67" s="2" t="n"/>
      <c r="H67" s="2" t="inlineStr">
        <is>
          <t>Vancouver</t>
        </is>
      </c>
      <c r="I67" s="2" t="inlineStr">
        <is>
          <t>Canadá</t>
        </is>
      </c>
      <c r="J67" s="2">
        <f>IF(OR(AND($E67="México",$I67="México"),AND($E67="Estados Unidos",$I67="Estados Unidos"),AND($E67="Canadá",$I67="Canadá")),1,0)</f>
        <v/>
      </c>
      <c r="K67" s="2">
        <f>IF(OR(AND($F67="México",$I67="México"),AND($F67="Estados Unidos",$I67="Estados Unidos"),AND($F67="Canadá",$I67="Canadá")),1,0)</f>
        <v/>
      </c>
      <c r="L67" s="2" t="n"/>
    </row>
    <row r="68" ht="15" customHeight="1">
      <c r="A68" s="2" t="n">
        <v>67</v>
      </c>
      <c r="B68" s="2" t="inlineStr">
        <is>
          <t>2026-06-27</t>
        </is>
      </c>
      <c r="C68" s="2" t="inlineStr">
        <is>
          <t>Grupos</t>
        </is>
      </c>
      <c r="D68" s="2" t="inlineStr">
        <is>
          <t>L</t>
        </is>
      </c>
      <c r="E68" s="2" t="inlineStr">
        <is>
          <t>Panamá</t>
        </is>
      </c>
      <c r="F68" s="2" t="inlineStr">
        <is>
          <t>Inglaterra</t>
        </is>
      </c>
      <c r="G68" s="2" t="n"/>
      <c r="H68" s="2" t="inlineStr">
        <is>
          <t>New York/New Jersey (East Rutherford)</t>
        </is>
      </c>
      <c r="I68" s="2" t="inlineStr">
        <is>
          <t>Estados Unidos</t>
        </is>
      </c>
      <c r="J68" s="2">
        <f>IF(OR(AND($E68="México",$I68="México"),AND($E68="Estados Unidos",$I68="Estados Unidos"),AND($E68="Canadá",$I68="Canadá")),1,0)</f>
        <v/>
      </c>
      <c r="K68" s="2">
        <f>IF(OR(AND($F68="México",$I68="México"),AND($F68="Estados Unidos",$I68="Estados Unidos"),AND($F68="Canadá",$I68="Canadá")),1,0)</f>
        <v/>
      </c>
      <c r="L68" s="2" t="n"/>
    </row>
    <row r="69" ht="15" customHeight="1">
      <c r="A69" s="2" t="n">
        <v>68</v>
      </c>
      <c r="B69" s="2" t="inlineStr">
        <is>
          <t>2026-06-27</t>
        </is>
      </c>
      <c r="C69" s="2" t="inlineStr">
        <is>
          <t>Grupos</t>
        </is>
      </c>
      <c r="D69" s="2" t="inlineStr">
        <is>
          <t>L</t>
        </is>
      </c>
      <c r="E69" s="2" t="inlineStr">
        <is>
          <t>Croacia</t>
        </is>
      </c>
      <c r="F69" s="2" t="inlineStr">
        <is>
          <t>Ghana</t>
        </is>
      </c>
      <c r="G69" s="2" t="n"/>
      <c r="H69" s="2" t="inlineStr">
        <is>
          <t>Philadelphia</t>
        </is>
      </c>
      <c r="I69" s="2" t="inlineStr">
        <is>
          <t>Estados Unidos</t>
        </is>
      </c>
      <c r="J69" s="2">
        <f>IF(OR(AND($E69="México",$I69="México"),AND($E69="Estados Unidos",$I69="Estados Unidos"),AND($E69="Canadá",$I69="Canadá")),1,0)</f>
        <v/>
      </c>
      <c r="K69" s="2">
        <f>IF(OR(AND($F69="México",$I69="México"),AND($F69="Estados Unidos",$I69="Estados Unidos"),AND($F69="Canadá",$I69="Canadá")),1,0)</f>
        <v/>
      </c>
      <c r="L69" s="2" t="n"/>
    </row>
    <row r="70" ht="15" customHeight="1">
      <c r="A70" s="2" t="n">
        <v>69</v>
      </c>
      <c r="B70" s="2" t="inlineStr">
        <is>
          <t>2026-06-27</t>
        </is>
      </c>
      <c r="C70" s="2" t="inlineStr">
        <is>
          <t>Grupos</t>
        </is>
      </c>
      <c r="D70" s="2" t="inlineStr">
        <is>
          <t>K</t>
        </is>
      </c>
      <c r="E70" s="2" t="inlineStr">
        <is>
          <t>Colombia</t>
        </is>
      </c>
      <c r="F70" s="2" t="inlineStr">
        <is>
          <t>Portugal</t>
        </is>
      </c>
      <c r="G70" s="2" t="n"/>
      <c r="H70" s="2" t="inlineStr">
        <is>
          <t>Miami (Miami Gardens)</t>
        </is>
      </c>
      <c r="I70" s="2" t="inlineStr">
        <is>
          <t>Estados Unidos</t>
        </is>
      </c>
      <c r="J70" s="2">
        <f>IF(OR(AND($E70="México",$I70="México"),AND($E70="Estados Unidos",$I70="Estados Unidos"),AND($E70="Canadá",$I70="Canadá")),1,0)</f>
        <v/>
      </c>
      <c r="K70" s="2">
        <f>IF(OR(AND($F70="México",$I70="México"),AND($F70="Estados Unidos",$I70="Estados Unidos"),AND($F70="Canadá",$I70="Canadá")),1,0)</f>
        <v/>
      </c>
      <c r="L70" s="2" t="n"/>
    </row>
    <row r="71" ht="15" customHeight="1">
      <c r="A71" s="2" t="n">
        <v>70</v>
      </c>
      <c r="B71" s="2" t="inlineStr">
        <is>
          <t>2026-06-27</t>
        </is>
      </c>
      <c r="C71" s="2" t="inlineStr">
        <is>
          <t>Grupos</t>
        </is>
      </c>
      <c r="D71" s="2" t="inlineStr">
        <is>
          <t>K</t>
        </is>
      </c>
      <c r="E71" s="2" t="inlineStr">
        <is>
          <t>RD Congo</t>
        </is>
      </c>
      <c r="F71" s="2" t="inlineStr">
        <is>
          <t>Uzbekistán</t>
        </is>
      </c>
      <c r="G71" s="2" t="n"/>
      <c r="H71" s="2" t="inlineStr">
        <is>
          <t>Atlanta</t>
        </is>
      </c>
      <c r="I71" s="2" t="inlineStr">
        <is>
          <t>Estados Unidos</t>
        </is>
      </c>
      <c r="J71" s="2">
        <f>IF(OR(AND($E71="México",$I71="México"),AND($E71="Estados Unidos",$I71="Estados Unidos"),AND($E71="Canadá",$I71="Canadá")),1,0)</f>
        <v/>
      </c>
      <c r="K71" s="2">
        <f>IF(OR(AND($F71="México",$I71="México"),AND($F71="Estados Unidos",$I71="Estados Unidos"),AND($F71="Canadá",$I71="Canadá")),1,0)</f>
        <v/>
      </c>
      <c r="L71" s="2" t="n"/>
    </row>
    <row r="72" ht="15" customHeight="1">
      <c r="A72" s="2" t="n">
        <v>71</v>
      </c>
      <c r="B72" s="2" t="inlineStr">
        <is>
          <t>2026-06-27</t>
        </is>
      </c>
      <c r="C72" s="2" t="inlineStr">
        <is>
          <t>Grupos</t>
        </is>
      </c>
      <c r="D72" s="2" t="inlineStr">
        <is>
          <t>J</t>
        </is>
      </c>
      <c r="E72" s="2" t="inlineStr">
        <is>
          <t>Argelia</t>
        </is>
      </c>
      <c r="F72" s="2" t="inlineStr">
        <is>
          <t>Austria</t>
        </is>
      </c>
      <c r="G72" s="2" t="n"/>
      <c r="H72" s="2" t="inlineStr">
        <is>
          <t>Kansas City</t>
        </is>
      </c>
      <c r="I72" s="2" t="inlineStr">
        <is>
          <t>Estados Unidos</t>
        </is>
      </c>
      <c r="J72" s="2">
        <f>IF(OR(AND($E72="México",$I72="México"),AND($E72="Estados Unidos",$I72="Estados Unidos"),AND($E72="Canadá",$I72="Canadá")),1,0)</f>
        <v/>
      </c>
      <c r="K72" s="2">
        <f>IF(OR(AND($F72="México",$I72="México"),AND($F72="Estados Unidos",$I72="Estados Unidos"),AND($F72="Canadá",$I72="Canadá")),1,0)</f>
        <v/>
      </c>
      <c r="L72" s="2" t="n"/>
    </row>
    <row r="73" ht="15" customHeight="1">
      <c r="A73" s="2" t="n">
        <v>72</v>
      </c>
      <c r="B73" s="2" t="inlineStr">
        <is>
          <t>2026-06-27</t>
        </is>
      </c>
      <c r="C73" s="2" t="inlineStr">
        <is>
          <t>Grupos</t>
        </is>
      </c>
      <c r="D73" s="2" t="inlineStr">
        <is>
          <t>J</t>
        </is>
      </c>
      <c r="E73" s="2" t="inlineStr">
        <is>
          <t>Jordania</t>
        </is>
      </c>
      <c r="F73" s="2" t="inlineStr">
        <is>
          <t>Argentina</t>
        </is>
      </c>
      <c r="G73" s="2" t="n"/>
      <c r="H73" s="2" t="inlineStr">
        <is>
          <t>Dallas (Arlington)</t>
        </is>
      </c>
      <c r="I73" s="2" t="inlineStr">
        <is>
          <t>Estados Unidos</t>
        </is>
      </c>
      <c r="J73" s="2">
        <f>IF(OR(AND($E73="México",$I73="México"),AND($E73="Estados Unidos",$I73="Estados Unidos"),AND($E73="Canadá",$I73="Canadá")),1,0)</f>
        <v/>
      </c>
      <c r="K73" s="2">
        <f>IF(OR(AND($F73="México",$I73="México"),AND($F73="Estados Unidos",$I73="Estados Unidos"),AND($F73="Canadá",$I73="Canadá")),1,0)</f>
        <v/>
      </c>
      <c r="L73" s="2" t="n"/>
    </row>
    <row r="74" ht="15" customHeight="1">
      <c r="A74" s="2" t="n">
        <v>73</v>
      </c>
      <c r="B74" s="2" t="inlineStr">
        <is>
          <t>2026-06-28</t>
        </is>
      </c>
      <c r="C74" s="2" t="inlineStr">
        <is>
          <t>R32</t>
        </is>
      </c>
      <c r="D74" s="2" t="n"/>
      <c r="E74" s="2" t="inlineStr">
        <is>
          <t>2A</t>
        </is>
      </c>
      <c r="F74" s="2" t="inlineStr">
        <is>
          <t>2B</t>
        </is>
      </c>
      <c r="G74" s="2" t="n"/>
      <c r="H74" s="2" t="inlineStr">
        <is>
          <t>Los Angeles (Inglewood)</t>
        </is>
      </c>
      <c r="I74" s="2" t="inlineStr">
        <is>
          <t>Estados Unidos</t>
        </is>
      </c>
      <c r="J74" s="2">
        <f>IF(OR(AND($E74="México",$I74="México"),AND($E74="Estados Unidos",$I74="Estados Unidos"),AND($E74="Canadá",$I74="Canadá")),1,0)</f>
        <v/>
      </c>
      <c r="K74" s="2">
        <f>IF(OR(AND($F74="México",$I74="México"),AND($F74="Estados Unidos",$I74="Estados Unidos"),AND($F74="Canadá",$I74="Canadá")),1,0)</f>
        <v/>
      </c>
      <c r="L74" s="2" t="n">
        <v>73</v>
      </c>
    </row>
    <row r="75" ht="15" customHeight="1">
      <c r="A75" s="2" t="n">
        <v>74</v>
      </c>
      <c r="B75" s="2" t="inlineStr">
        <is>
          <t>2026-06-29</t>
        </is>
      </c>
      <c r="C75" s="2" t="inlineStr">
        <is>
          <t>R32</t>
        </is>
      </c>
      <c r="D75" s="2" t="n"/>
      <c r="E75" s="2" t="inlineStr">
        <is>
          <t>1C</t>
        </is>
      </c>
      <c r="F75" s="2" t="inlineStr">
        <is>
          <t>2F</t>
        </is>
      </c>
      <c r="G75" s="2" t="n"/>
      <c r="H75" s="2" t="inlineStr">
        <is>
          <t>Houston</t>
        </is>
      </c>
      <c r="I75" s="2" t="inlineStr">
        <is>
          <t>Estados Unidos</t>
        </is>
      </c>
      <c r="J75" s="2">
        <f>IF(OR(AND($E75="México",$I75="México"),AND($E75="Estados Unidos",$I75="Estados Unidos"),AND($E75="Canadá",$I75="Canadá")),1,0)</f>
        <v/>
      </c>
      <c r="K75" s="2">
        <f>IF(OR(AND($F75="México",$I75="México"),AND($F75="Estados Unidos",$I75="Estados Unidos"),AND($F75="Canadá",$I75="Canadá")),1,0)</f>
        <v/>
      </c>
      <c r="L75" s="2" t="n">
        <v>76</v>
      </c>
    </row>
    <row r="76" ht="15" customHeight="1">
      <c r="A76" s="2" t="n">
        <v>75</v>
      </c>
      <c r="B76" s="2" t="inlineStr">
        <is>
          <t>2026-06-29</t>
        </is>
      </c>
      <c r="C76" s="2" t="inlineStr">
        <is>
          <t>R32</t>
        </is>
      </c>
      <c r="D76" s="2" t="n"/>
      <c r="E76" s="2" t="inlineStr">
        <is>
          <t>1E</t>
        </is>
      </c>
      <c r="F76" s="2" t="inlineStr">
        <is>
          <t>3A/B/C/D/F</t>
        </is>
      </c>
      <c r="G76" s="2" t="n"/>
      <c r="H76" s="2" t="inlineStr">
        <is>
          <t>Boston (Foxborough)</t>
        </is>
      </c>
      <c r="I76" s="2" t="inlineStr">
        <is>
          <t>Estados Unidos</t>
        </is>
      </c>
      <c r="J76" s="2">
        <f>IF(OR(AND($E76="México",$I76="México"),AND($E76="Estados Unidos",$I76="Estados Unidos"),AND($E76="Canadá",$I76="Canadá")),1,0)</f>
        <v/>
      </c>
      <c r="K76" s="2">
        <f>IF(OR(AND($F76="México",$I76="México"),AND($F76="Estados Unidos",$I76="Estados Unidos"),AND($F76="Canadá",$I76="Canadá")),1,0)</f>
        <v/>
      </c>
      <c r="L76" s="2" t="n">
        <v>74</v>
      </c>
    </row>
    <row r="77" ht="15" customHeight="1">
      <c r="A77" s="2" t="n">
        <v>76</v>
      </c>
      <c r="B77" s="2" t="inlineStr">
        <is>
          <t>2026-06-29</t>
        </is>
      </c>
      <c r="C77" s="2" t="inlineStr">
        <is>
          <t>R32</t>
        </is>
      </c>
      <c r="D77" s="2" t="n"/>
      <c r="E77" s="2" t="inlineStr">
        <is>
          <t>1F</t>
        </is>
      </c>
      <c r="F77" s="2" t="inlineStr">
        <is>
          <t>2C</t>
        </is>
      </c>
      <c r="G77" s="2" t="n"/>
      <c r="H77" s="2" t="inlineStr">
        <is>
          <t>Monterrey (Guadalupe)</t>
        </is>
      </c>
      <c r="I77" s="2" t="inlineStr">
        <is>
          <t>México</t>
        </is>
      </c>
      <c r="J77" s="2">
        <f>IF(OR(AND($E77="México",$I77="México"),AND($E77="Estados Unidos",$I77="Estados Unidos"),AND($E77="Canadá",$I77="Canadá")),1,0)</f>
        <v/>
      </c>
      <c r="K77" s="2">
        <f>IF(OR(AND($F77="México",$I77="México"),AND($F77="Estados Unidos",$I77="Estados Unidos"),AND($F77="Canadá",$I77="Canadá")),1,0)</f>
        <v/>
      </c>
      <c r="L77" s="2" t="n">
        <v>75</v>
      </c>
    </row>
    <row r="78" ht="15" customHeight="1">
      <c r="A78" s="2" t="n">
        <v>77</v>
      </c>
      <c r="B78" s="2" t="inlineStr">
        <is>
          <t>2026-06-30</t>
        </is>
      </c>
      <c r="C78" s="2" t="inlineStr">
        <is>
          <t>R32</t>
        </is>
      </c>
      <c r="D78" s="2" t="n"/>
      <c r="E78" s="2" t="inlineStr">
        <is>
          <t>2E</t>
        </is>
      </c>
      <c r="F78" s="2" t="inlineStr">
        <is>
          <t>2I</t>
        </is>
      </c>
      <c r="G78" s="2" t="n"/>
      <c r="H78" s="2" t="inlineStr">
        <is>
          <t>Dallas (Arlington)</t>
        </is>
      </c>
      <c r="I78" s="2" t="inlineStr">
        <is>
          <t>Estados Unidos</t>
        </is>
      </c>
      <c r="J78" s="2">
        <f>IF(OR(AND($E78="México",$I78="México"),AND($E78="Estados Unidos",$I78="Estados Unidos"),AND($E78="Canadá",$I78="Canadá")),1,0)</f>
        <v/>
      </c>
      <c r="K78" s="2">
        <f>IF(OR(AND($F78="México",$I78="México"),AND($F78="Estados Unidos",$I78="Estados Unidos"),AND($F78="Canadá",$I78="Canadá")),1,0)</f>
        <v/>
      </c>
      <c r="L78" s="2" t="n">
        <v>78</v>
      </c>
    </row>
    <row r="79" ht="15" customHeight="1">
      <c r="A79" s="2" t="n">
        <v>78</v>
      </c>
      <c r="B79" s="2" t="inlineStr">
        <is>
          <t>2026-06-30</t>
        </is>
      </c>
      <c r="C79" s="2" t="inlineStr">
        <is>
          <t>R32</t>
        </is>
      </c>
      <c r="D79" s="2" t="n"/>
      <c r="E79" s="2" t="inlineStr">
        <is>
          <t>1I</t>
        </is>
      </c>
      <c r="F79" s="2" t="inlineStr">
        <is>
          <t>3C/D/F/G/H</t>
        </is>
      </c>
      <c r="G79" s="2" t="n"/>
      <c r="H79" s="2" t="inlineStr">
        <is>
          <t>New York/New Jersey (East Rutherford)</t>
        </is>
      </c>
      <c r="I79" s="2" t="inlineStr">
        <is>
          <t>Estados Unidos</t>
        </is>
      </c>
      <c r="J79" s="2">
        <f>IF(OR(AND($E79="México",$I79="México"),AND($E79="Estados Unidos",$I79="Estados Unidos"),AND($E79="Canadá",$I79="Canadá")),1,0)</f>
        <v/>
      </c>
      <c r="K79" s="2">
        <f>IF(OR(AND($F79="México",$I79="México"),AND($F79="Estados Unidos",$I79="Estados Unidos"),AND($F79="Canadá",$I79="Canadá")),1,0)</f>
        <v/>
      </c>
      <c r="L79" s="2" t="n">
        <v>77</v>
      </c>
    </row>
    <row r="80" ht="15" customHeight="1">
      <c r="A80" s="2" t="n">
        <v>79</v>
      </c>
      <c r="B80" s="2" t="inlineStr">
        <is>
          <t>2026-06-30</t>
        </is>
      </c>
      <c r="C80" s="2" t="inlineStr">
        <is>
          <t>R32</t>
        </is>
      </c>
      <c r="D80" s="2" t="n"/>
      <c r="E80" s="2" t="inlineStr">
        <is>
          <t>1A</t>
        </is>
      </c>
      <c r="F80" s="2" t="inlineStr">
        <is>
          <t>3C/E/F/H/I</t>
        </is>
      </c>
      <c r="G80" s="2" t="n"/>
      <c r="H80" s="2" t="inlineStr">
        <is>
          <t>Mexico City</t>
        </is>
      </c>
      <c r="I80" s="2" t="inlineStr">
        <is>
          <t>México</t>
        </is>
      </c>
      <c r="J80" s="2">
        <f>IF(OR(AND($E80="México",$I80="México"),AND($E80="Estados Unidos",$I80="Estados Unidos"),AND($E80="Canadá",$I80="Canadá")),1,0)</f>
        <v/>
      </c>
      <c r="K80" s="2">
        <f>IF(OR(AND($F80="México",$I80="México"),AND($F80="Estados Unidos",$I80="Estados Unidos"),AND($F80="Canadá",$I80="Canadá")),1,0)</f>
        <v/>
      </c>
      <c r="L80" s="2" t="n">
        <v>79</v>
      </c>
    </row>
    <row r="81" ht="15" customHeight="1">
      <c r="A81" s="2" t="n">
        <v>80</v>
      </c>
      <c r="B81" s="2" t="inlineStr">
        <is>
          <t>2026-07-01</t>
        </is>
      </c>
      <c r="C81" s="2" t="inlineStr">
        <is>
          <t>R32</t>
        </is>
      </c>
      <c r="D81" s="2" t="n"/>
      <c r="E81" s="2" t="inlineStr">
        <is>
          <t>1L</t>
        </is>
      </c>
      <c r="F81" s="2" t="inlineStr">
        <is>
          <t>3E/H/I/J/K</t>
        </is>
      </c>
      <c r="G81" s="2" t="n"/>
      <c r="H81" s="2" t="inlineStr">
        <is>
          <t>Atlanta</t>
        </is>
      </c>
      <c r="I81" s="2" t="inlineStr">
        <is>
          <t>Estados Unidos</t>
        </is>
      </c>
      <c r="J81" s="2">
        <f>IF(OR(AND($E81="México",$I81="México"),AND($E81="Estados Unidos",$I81="Estados Unidos"),AND($E81="Canadá",$I81="Canadá")),1,0)</f>
        <v/>
      </c>
      <c r="K81" s="2">
        <f>IF(OR(AND($F81="México",$I81="México"),AND($F81="Estados Unidos",$I81="Estados Unidos"),AND($F81="Canadá",$I81="Canadá")),1,0)</f>
        <v/>
      </c>
      <c r="L81" s="2" t="n">
        <v>80</v>
      </c>
    </row>
    <row r="82" ht="15" customHeight="1">
      <c r="A82" s="2" t="n">
        <v>81</v>
      </c>
      <c r="B82" s="2" t="inlineStr">
        <is>
          <t>2026-07-01</t>
        </is>
      </c>
      <c r="C82" s="2" t="inlineStr">
        <is>
          <t>R32</t>
        </is>
      </c>
      <c r="D82" s="2" t="n"/>
      <c r="E82" s="2" t="inlineStr">
        <is>
          <t>1G</t>
        </is>
      </c>
      <c r="F82" s="2" t="inlineStr">
        <is>
          <t>3A/E/H/I/J</t>
        </is>
      </c>
      <c r="G82" s="2" t="n"/>
      <c r="H82" s="2" t="inlineStr">
        <is>
          <t>Seattle</t>
        </is>
      </c>
      <c r="I82" s="2" t="inlineStr">
        <is>
          <t>Estados Unidos</t>
        </is>
      </c>
      <c r="J82" s="2">
        <f>IF(OR(AND($E82="México",$I82="México"),AND($E82="Estados Unidos",$I82="Estados Unidos"),AND($E82="Canadá",$I82="Canadá")),1,0)</f>
        <v/>
      </c>
      <c r="K82" s="2">
        <f>IF(OR(AND($F82="México",$I82="México"),AND($F82="Estados Unidos",$I82="Estados Unidos"),AND($F82="Canadá",$I82="Canadá")),1,0)</f>
        <v/>
      </c>
      <c r="L82" s="2" t="n">
        <v>82</v>
      </c>
    </row>
    <row r="83" ht="15" customHeight="1">
      <c r="A83" s="2" t="n">
        <v>82</v>
      </c>
      <c r="B83" s="2" t="inlineStr">
        <is>
          <t>2026-07-01</t>
        </is>
      </c>
      <c r="C83" s="2" t="inlineStr">
        <is>
          <t>R32</t>
        </is>
      </c>
      <c r="D83" s="2" t="n"/>
      <c r="E83" s="2" t="inlineStr">
        <is>
          <t>1D</t>
        </is>
      </c>
      <c r="F83" s="2" t="inlineStr">
        <is>
          <t>3B/E/F/I/J</t>
        </is>
      </c>
      <c r="G83" s="2" t="n"/>
      <c r="H83" s="2" t="inlineStr">
        <is>
          <t>San Francisco Bay Area (Santa Clara)</t>
        </is>
      </c>
      <c r="I83" s="2" t="inlineStr">
        <is>
          <t>Estados Unidos</t>
        </is>
      </c>
      <c r="J83" s="2">
        <f>IF(OR(AND($E83="México",$I83="México"),AND($E83="Estados Unidos",$I83="Estados Unidos"),AND($E83="Canadá",$I83="Canadá")),1,0)</f>
        <v/>
      </c>
      <c r="K83" s="2">
        <f>IF(OR(AND($F83="México",$I83="México"),AND($F83="Estados Unidos",$I83="Estados Unidos"),AND($F83="Canadá",$I83="Canadá")),1,0)</f>
        <v/>
      </c>
      <c r="L83" s="2" t="n">
        <v>81</v>
      </c>
    </row>
    <row r="84" ht="15" customHeight="1">
      <c r="A84" s="2" t="n">
        <v>83</v>
      </c>
      <c r="B84" s="2" t="inlineStr">
        <is>
          <t>2026-07-02</t>
        </is>
      </c>
      <c r="C84" s="2" t="inlineStr">
        <is>
          <t>R32</t>
        </is>
      </c>
      <c r="D84" s="2" t="n"/>
      <c r="E84" s="2" t="inlineStr">
        <is>
          <t>1H</t>
        </is>
      </c>
      <c r="F84" s="2" t="inlineStr">
        <is>
          <t>2J</t>
        </is>
      </c>
      <c r="G84" s="2" t="n"/>
      <c r="H84" s="2" t="inlineStr">
        <is>
          <t>Los Angeles (Inglewood)</t>
        </is>
      </c>
      <c r="I84" s="2" t="inlineStr">
        <is>
          <t>Estados Unidos</t>
        </is>
      </c>
      <c r="J84" s="2">
        <f>IF(OR(AND($E84="México",$I84="México"),AND($E84="Estados Unidos",$I84="Estados Unidos"),AND($E84="Canadá",$I84="Canadá")),1,0)</f>
        <v/>
      </c>
      <c r="K84" s="2">
        <f>IF(OR(AND($F84="México",$I84="México"),AND($F84="Estados Unidos",$I84="Estados Unidos"),AND($F84="Canadá",$I84="Canadá")),1,0)</f>
        <v/>
      </c>
      <c r="L84" s="2" t="n">
        <v>84</v>
      </c>
    </row>
    <row r="85" ht="15" customHeight="1">
      <c r="A85" s="2" t="n">
        <v>84</v>
      </c>
      <c r="B85" s="2" t="inlineStr">
        <is>
          <t>2026-07-02</t>
        </is>
      </c>
      <c r="C85" s="2" t="inlineStr">
        <is>
          <t>R32</t>
        </is>
      </c>
      <c r="D85" s="2" t="n"/>
      <c r="E85" s="2" t="inlineStr">
        <is>
          <t>2K</t>
        </is>
      </c>
      <c r="F85" s="2" t="inlineStr">
        <is>
          <t>2L</t>
        </is>
      </c>
      <c r="G85" s="2" t="n"/>
      <c r="H85" s="2" t="inlineStr">
        <is>
          <t>Toronto</t>
        </is>
      </c>
      <c r="I85" s="2" t="inlineStr">
        <is>
          <t>Canadá</t>
        </is>
      </c>
      <c r="J85" s="2">
        <f>IF(OR(AND($E85="México",$I85="México"),AND($E85="Estados Unidos",$I85="Estados Unidos"),AND($E85="Canadá",$I85="Canadá")),1,0)</f>
        <v/>
      </c>
      <c r="K85" s="2">
        <f>IF(OR(AND($F85="México",$I85="México"),AND($F85="Estados Unidos",$I85="Estados Unidos"),AND($F85="Canadá",$I85="Canadá")),1,0)</f>
        <v/>
      </c>
      <c r="L85" s="2" t="n">
        <v>83</v>
      </c>
    </row>
    <row r="86" ht="15" customHeight="1">
      <c r="A86" s="2" t="n">
        <v>85</v>
      </c>
      <c r="B86" s="2" t="inlineStr">
        <is>
          <t>2026-07-02</t>
        </is>
      </c>
      <c r="C86" s="2" t="inlineStr">
        <is>
          <t>R32</t>
        </is>
      </c>
      <c r="D86" s="2" t="n"/>
      <c r="E86" s="2" t="inlineStr">
        <is>
          <t>1B</t>
        </is>
      </c>
      <c r="F86" s="2" t="inlineStr">
        <is>
          <t>3E/F/G/I/J</t>
        </is>
      </c>
      <c r="G86" s="2" t="n"/>
      <c r="H86" s="2" t="inlineStr">
        <is>
          <t>Vancouver</t>
        </is>
      </c>
      <c r="I86" s="2" t="inlineStr">
        <is>
          <t>Canadá</t>
        </is>
      </c>
      <c r="J86" s="2">
        <f>IF(OR(AND($E86="México",$I86="México"),AND($E86="Estados Unidos",$I86="Estados Unidos"),AND($E86="Canadá",$I86="Canadá")),1,0)</f>
        <v/>
      </c>
      <c r="K86" s="2">
        <f>IF(OR(AND($F86="México",$I86="México"),AND($F86="Estados Unidos",$I86="Estados Unidos"),AND($F86="Canadá",$I86="Canadá")),1,0)</f>
        <v/>
      </c>
      <c r="L86" s="2" t="n">
        <v>85</v>
      </c>
    </row>
    <row r="87" ht="15" customHeight="1">
      <c r="A87" s="2" t="n">
        <v>86</v>
      </c>
      <c r="B87" s="2" t="inlineStr">
        <is>
          <t>2026-07-03</t>
        </is>
      </c>
      <c r="C87" s="2" t="inlineStr">
        <is>
          <t>R32</t>
        </is>
      </c>
      <c r="D87" s="2" t="n"/>
      <c r="E87" s="2" t="inlineStr">
        <is>
          <t>2D</t>
        </is>
      </c>
      <c r="F87" s="2" t="inlineStr">
        <is>
          <t>2G</t>
        </is>
      </c>
      <c r="G87" s="2" t="n"/>
      <c r="H87" s="2" t="inlineStr">
        <is>
          <t>Dallas (Arlington)</t>
        </is>
      </c>
      <c r="I87" s="2" t="inlineStr">
        <is>
          <t>Estados Unidos</t>
        </is>
      </c>
      <c r="J87" s="2">
        <f>IF(OR(AND($E87="México",$I87="México"),AND($E87="Estados Unidos",$I87="Estados Unidos"),AND($E87="Canadá",$I87="Canadá")),1,0)</f>
        <v/>
      </c>
      <c r="K87" s="2">
        <f>IF(OR(AND($F87="México",$I87="México"),AND($F87="Estados Unidos",$I87="Estados Unidos"),AND($F87="Canadá",$I87="Canadá")),1,0)</f>
        <v/>
      </c>
      <c r="L87" s="2" t="n">
        <v>88</v>
      </c>
    </row>
    <row r="88" ht="15" customHeight="1">
      <c r="A88" s="2" t="n">
        <v>87</v>
      </c>
      <c r="B88" s="2" t="inlineStr">
        <is>
          <t>2026-07-03</t>
        </is>
      </c>
      <c r="C88" s="2" t="inlineStr">
        <is>
          <t>R32</t>
        </is>
      </c>
      <c r="D88" s="2" t="n"/>
      <c r="E88" s="2" t="inlineStr">
        <is>
          <t>1J</t>
        </is>
      </c>
      <c r="F88" s="2" t="inlineStr">
        <is>
          <t>2H</t>
        </is>
      </c>
      <c r="G88" s="2" t="n"/>
      <c r="H88" s="2" t="inlineStr">
        <is>
          <t>Miami (Miami Gardens)</t>
        </is>
      </c>
      <c r="I88" s="2" t="inlineStr">
        <is>
          <t>Estados Unidos</t>
        </is>
      </c>
      <c r="J88" s="2">
        <f>IF(OR(AND($E88="México",$I88="México"),AND($E88="Estados Unidos",$I88="Estados Unidos"),AND($E88="Canadá",$I88="Canadá")),1,0)</f>
        <v/>
      </c>
      <c r="K88" s="2">
        <f>IF(OR(AND($F88="México",$I88="México"),AND($F88="Estados Unidos",$I88="Estados Unidos"),AND($F88="Canadá",$I88="Canadá")),1,0)</f>
        <v/>
      </c>
      <c r="L88" s="2" t="n">
        <v>86</v>
      </c>
    </row>
    <row r="89" ht="15" customHeight="1">
      <c r="A89" s="2" t="n">
        <v>88</v>
      </c>
      <c r="B89" s="2" t="inlineStr">
        <is>
          <t>2026-07-03</t>
        </is>
      </c>
      <c r="C89" s="2" t="inlineStr">
        <is>
          <t>R32</t>
        </is>
      </c>
      <c r="D89" s="2" t="n"/>
      <c r="E89" s="2" t="inlineStr">
        <is>
          <t>1K</t>
        </is>
      </c>
      <c r="F89" s="2" t="inlineStr">
        <is>
          <t>3D/E/I/J/L</t>
        </is>
      </c>
      <c r="G89" s="2" t="n"/>
      <c r="H89" s="2" t="inlineStr">
        <is>
          <t>Kansas City</t>
        </is>
      </c>
      <c r="I89" s="2" t="inlineStr">
        <is>
          <t>Estados Unidos</t>
        </is>
      </c>
      <c r="J89" s="2">
        <f>IF(OR(AND($E89="México",$I89="México"),AND($E89="Estados Unidos",$I89="Estados Unidos"),AND($E89="Canadá",$I89="Canadá")),1,0)</f>
        <v/>
      </c>
      <c r="K89" s="2">
        <f>IF(OR(AND($F89="México",$I89="México"),AND($F89="Estados Unidos",$I89="Estados Unidos"),AND($F89="Canadá",$I89="Canadá")),1,0)</f>
        <v/>
      </c>
      <c r="L89" s="2" t="n">
        <v>87</v>
      </c>
    </row>
    <row r="90" ht="15" customHeight="1">
      <c r="A90" s="2" t="n">
        <v>89</v>
      </c>
      <c r="B90" s="2" t="inlineStr">
        <is>
          <t>2026-07-04</t>
        </is>
      </c>
      <c r="C90" s="2" t="inlineStr">
        <is>
          <t>Octavos</t>
        </is>
      </c>
      <c r="D90" s="2" t="n"/>
      <c r="E90" s="2" t="inlineStr">
        <is>
          <t>W73</t>
        </is>
      </c>
      <c r="F90" s="2" t="inlineStr">
        <is>
          <t>W75</t>
        </is>
      </c>
      <c r="G90" s="2" t="n"/>
      <c r="H90" s="2" t="inlineStr">
        <is>
          <t>Houston</t>
        </is>
      </c>
      <c r="I90" s="2" t="inlineStr">
        <is>
          <t>Estados Unidos</t>
        </is>
      </c>
      <c r="J90" s="2">
        <f>IF(OR(AND($E90="México",$I90="México"),AND($E90="Estados Unidos",$I90="Estados Unidos"),AND($E90="Canadá",$I90="Canadá")),1,0)</f>
        <v/>
      </c>
      <c r="K90" s="2">
        <f>IF(OR(AND($F90="México",$I90="México"),AND($F90="Estados Unidos",$I90="Estados Unidos"),AND($F90="Canadá",$I90="Canadá")),1,0)</f>
        <v/>
      </c>
      <c r="L90" s="2" t="n">
        <v>90</v>
      </c>
    </row>
    <row r="91" ht="15" customHeight="1">
      <c r="A91" s="2" t="n">
        <v>90</v>
      </c>
      <c r="B91" s="2" t="inlineStr">
        <is>
          <t>2026-07-04</t>
        </is>
      </c>
      <c r="C91" s="2" t="inlineStr">
        <is>
          <t>Octavos</t>
        </is>
      </c>
      <c r="D91" s="2" t="n"/>
      <c r="E91" s="2" t="inlineStr">
        <is>
          <t>W74</t>
        </is>
      </c>
      <c r="F91" s="2" t="inlineStr">
        <is>
          <t>W77</t>
        </is>
      </c>
      <c r="G91" s="2" t="n"/>
      <c r="H91" s="2" t="inlineStr">
        <is>
          <t>Philadelphia</t>
        </is>
      </c>
      <c r="I91" s="2" t="inlineStr">
        <is>
          <t>Estados Unidos</t>
        </is>
      </c>
      <c r="J91" s="2">
        <f>IF(OR(AND($E91="México",$I91="México"),AND($E91="Estados Unidos",$I91="Estados Unidos"),AND($E91="Canadá",$I91="Canadá")),1,0)</f>
        <v/>
      </c>
      <c r="K91" s="2">
        <f>IF(OR(AND($F91="México",$I91="México"),AND($F91="Estados Unidos",$I91="Estados Unidos"),AND($F91="Canadá",$I91="Canadá")),1,0)</f>
        <v/>
      </c>
      <c r="L91" s="2" t="n">
        <v>89</v>
      </c>
    </row>
    <row r="92" ht="15" customHeight="1">
      <c r="A92" s="2" t="n">
        <v>91</v>
      </c>
      <c r="B92" s="2" t="inlineStr">
        <is>
          <t>2026-07-05</t>
        </is>
      </c>
      <c r="C92" s="2" t="inlineStr">
        <is>
          <t>Octavos</t>
        </is>
      </c>
      <c r="D92" s="2" t="n"/>
      <c r="E92" s="2" t="inlineStr">
        <is>
          <t>W76</t>
        </is>
      </c>
      <c r="F92" s="2" t="inlineStr">
        <is>
          <t>W78</t>
        </is>
      </c>
      <c r="G92" s="2" t="n"/>
      <c r="H92" s="2" t="inlineStr">
        <is>
          <t>New York/New Jersey (East Rutherford)</t>
        </is>
      </c>
      <c r="I92" s="2" t="inlineStr">
        <is>
          <t>Estados Unidos</t>
        </is>
      </c>
      <c r="J92" s="2">
        <f>IF(OR(AND($E92="México",$I92="México"),AND($E92="Estados Unidos",$I92="Estados Unidos"),AND($E92="Canadá",$I92="Canadá")),1,0)</f>
        <v/>
      </c>
      <c r="K92" s="2">
        <f>IF(OR(AND($F92="México",$I92="México"),AND($F92="Estados Unidos",$I92="Estados Unidos"),AND($F92="Canadá",$I92="Canadá")),1,0)</f>
        <v/>
      </c>
      <c r="L92" s="2" t="n">
        <v>91</v>
      </c>
    </row>
    <row r="93" ht="15" customHeight="1">
      <c r="A93" s="2" t="n">
        <v>92</v>
      </c>
      <c r="B93" s="2" t="inlineStr">
        <is>
          <t>2026-07-05</t>
        </is>
      </c>
      <c r="C93" s="2" t="inlineStr">
        <is>
          <t>Octavos</t>
        </is>
      </c>
      <c r="D93" s="2" t="n"/>
      <c r="E93" s="2" t="inlineStr">
        <is>
          <t>W79</t>
        </is>
      </c>
      <c r="F93" s="2" t="inlineStr">
        <is>
          <t>W80</t>
        </is>
      </c>
      <c r="G93" s="2" t="n"/>
      <c r="H93" s="2" t="inlineStr">
        <is>
          <t>Mexico City</t>
        </is>
      </c>
      <c r="I93" s="2" t="inlineStr">
        <is>
          <t>México</t>
        </is>
      </c>
      <c r="J93" s="2">
        <f>IF(OR(AND($E93="México",$I93="México"),AND($E93="Estados Unidos",$I93="Estados Unidos"),AND($E93="Canadá",$I93="Canadá")),1,0)</f>
        <v/>
      </c>
      <c r="K93" s="2">
        <f>IF(OR(AND($F93="México",$I93="México"),AND($F93="Estados Unidos",$I93="Estados Unidos"),AND($F93="Canadá",$I93="Canadá")),1,0)</f>
        <v/>
      </c>
      <c r="L93" s="2" t="n">
        <v>92</v>
      </c>
    </row>
    <row r="94" ht="15" customHeight="1">
      <c r="A94" s="2" t="n">
        <v>93</v>
      </c>
      <c r="B94" s="2" t="inlineStr">
        <is>
          <t>2026-07-06</t>
        </is>
      </c>
      <c r="C94" s="2" t="inlineStr">
        <is>
          <t>Octavos</t>
        </is>
      </c>
      <c r="D94" s="2" t="n"/>
      <c r="E94" s="2" t="inlineStr">
        <is>
          <t>W83</t>
        </is>
      </c>
      <c r="F94" s="2" t="inlineStr">
        <is>
          <t>W84</t>
        </is>
      </c>
      <c r="G94" s="2" t="n"/>
      <c r="H94" s="2" t="inlineStr">
        <is>
          <t>Dallas (Arlington)</t>
        </is>
      </c>
      <c r="I94" s="2" t="inlineStr">
        <is>
          <t>Estados Unidos</t>
        </is>
      </c>
      <c r="J94" s="2">
        <f>IF(OR(AND($E94="México",$I94="México"),AND($E94="Estados Unidos",$I94="Estados Unidos"),AND($E94="Canadá",$I94="Canadá")),1,0)</f>
        <v/>
      </c>
      <c r="K94" s="2">
        <f>IF(OR(AND($F94="México",$I94="México"),AND($F94="Estados Unidos",$I94="Estados Unidos"),AND($F94="Canadá",$I94="Canadá")),1,0)</f>
        <v/>
      </c>
      <c r="L94" s="2" t="n">
        <v>93</v>
      </c>
    </row>
    <row r="95" ht="15" customHeight="1">
      <c r="A95" s="2" t="n">
        <v>94</v>
      </c>
      <c r="B95" s="2" t="inlineStr">
        <is>
          <t>2026-07-06</t>
        </is>
      </c>
      <c r="C95" s="2" t="inlineStr">
        <is>
          <t>Octavos</t>
        </is>
      </c>
      <c r="D95" s="2" t="n"/>
      <c r="E95" s="2" t="inlineStr">
        <is>
          <t>W81</t>
        </is>
      </c>
      <c r="F95" s="2" t="inlineStr">
        <is>
          <t>W82</t>
        </is>
      </c>
      <c r="G95" s="2" t="n"/>
      <c r="H95" s="2" t="inlineStr">
        <is>
          <t>Seattle</t>
        </is>
      </c>
      <c r="I95" s="2" t="inlineStr">
        <is>
          <t>Estados Unidos</t>
        </is>
      </c>
      <c r="J95" s="2">
        <f>IF(OR(AND($E95="México",$I95="México"),AND($E95="Estados Unidos",$I95="Estados Unidos"),AND($E95="Canadá",$I95="Canadá")),1,0)</f>
        <v/>
      </c>
      <c r="K95" s="2">
        <f>IF(OR(AND($F95="México",$I95="México"),AND($F95="Estados Unidos",$I95="Estados Unidos"),AND($F95="Canadá",$I95="Canadá")),1,0)</f>
        <v/>
      </c>
      <c r="L95" s="2" t="n">
        <v>94</v>
      </c>
    </row>
    <row r="96" ht="15" customHeight="1">
      <c r="A96" s="2" t="n">
        <v>95</v>
      </c>
      <c r="B96" s="2" t="inlineStr">
        <is>
          <t>2026-07-07</t>
        </is>
      </c>
      <c r="C96" s="2" t="inlineStr">
        <is>
          <t>Octavos</t>
        </is>
      </c>
      <c r="D96" s="2" t="n"/>
      <c r="E96" s="2" t="inlineStr">
        <is>
          <t>W86</t>
        </is>
      </c>
      <c r="F96" s="2" t="inlineStr">
        <is>
          <t>W88</t>
        </is>
      </c>
      <c r="G96" s="2" t="n"/>
      <c r="H96" s="2" t="inlineStr">
        <is>
          <t>Atlanta</t>
        </is>
      </c>
      <c r="I96" s="2" t="inlineStr">
        <is>
          <t>Estados Unidos</t>
        </is>
      </c>
      <c r="J96" s="2">
        <f>IF(OR(AND($E96="México",$I96="México"),AND($E96="Estados Unidos",$I96="Estados Unidos"),AND($E96="Canadá",$I96="Canadá")),1,0)</f>
        <v/>
      </c>
      <c r="K96" s="2">
        <f>IF(OR(AND($F96="México",$I96="México"),AND($F96="Estados Unidos",$I96="Estados Unidos"),AND($F96="Canadá",$I96="Canadá")),1,0)</f>
        <v/>
      </c>
      <c r="L96" s="2" t="n">
        <v>95</v>
      </c>
    </row>
    <row r="97" ht="15" customHeight="1">
      <c r="A97" s="2" t="n">
        <v>96</v>
      </c>
      <c r="B97" s="2" t="inlineStr">
        <is>
          <t>2026-07-07</t>
        </is>
      </c>
      <c r="C97" s="2" t="inlineStr">
        <is>
          <t>Octavos</t>
        </is>
      </c>
      <c r="D97" s="2" t="n"/>
      <c r="E97" s="2" t="inlineStr">
        <is>
          <t>W85</t>
        </is>
      </c>
      <c r="F97" s="2" t="inlineStr">
        <is>
          <t>W87</t>
        </is>
      </c>
      <c r="G97" s="2" t="n"/>
      <c r="H97" s="2" t="inlineStr">
        <is>
          <t>Vancouver</t>
        </is>
      </c>
      <c r="I97" s="2" t="inlineStr">
        <is>
          <t>Canadá</t>
        </is>
      </c>
      <c r="J97" s="2">
        <f>IF(OR(AND($E97="México",$I97="México"),AND($E97="Estados Unidos",$I97="Estados Unidos"),AND($E97="Canadá",$I97="Canadá")),1,0)</f>
        <v/>
      </c>
      <c r="K97" s="2">
        <f>IF(OR(AND($F97="México",$I97="México"),AND($F97="Estados Unidos",$I97="Estados Unidos"),AND($F97="Canadá",$I97="Canadá")),1,0)</f>
        <v/>
      </c>
      <c r="L97" s="2" t="n">
        <v>96</v>
      </c>
    </row>
    <row r="98" ht="15" customHeight="1">
      <c r="A98" s="2" t="n">
        <v>97</v>
      </c>
      <c r="B98" s="2" t="inlineStr">
        <is>
          <t>2026-07-09</t>
        </is>
      </c>
      <c r="C98" s="2" t="inlineStr">
        <is>
          <t>Cuartos</t>
        </is>
      </c>
      <c r="D98" s="2" t="n"/>
      <c r="E98" s="2" t="inlineStr">
        <is>
          <t>W89</t>
        </is>
      </c>
      <c r="F98" s="2" t="inlineStr">
        <is>
          <t>W90</t>
        </is>
      </c>
      <c r="G98" s="2" t="n"/>
      <c r="H98" s="2" t="inlineStr">
        <is>
          <t>Boston (Foxborough)</t>
        </is>
      </c>
      <c r="I98" s="2" t="inlineStr">
        <is>
          <t>Estados Unidos</t>
        </is>
      </c>
      <c r="J98" s="2">
        <f>IF(OR(AND($E98="México",$I98="México"),AND($E98="Estados Unidos",$I98="Estados Unidos"),AND($E98="Canadá",$I98="Canadá")),1,0)</f>
        <v/>
      </c>
      <c r="K98" s="2">
        <f>IF(OR(AND($F98="México",$I98="México"),AND($F98="Estados Unidos",$I98="Estados Unidos"),AND($F98="Canadá",$I98="Canadá")),1,0)</f>
        <v/>
      </c>
      <c r="L98" s="2" t="n">
        <v>97</v>
      </c>
    </row>
    <row r="99" ht="15" customHeight="1">
      <c r="A99" s="2" t="n">
        <v>98</v>
      </c>
      <c r="B99" s="2" t="inlineStr">
        <is>
          <t>2026-07-10</t>
        </is>
      </c>
      <c r="C99" s="2" t="inlineStr">
        <is>
          <t>Cuartos</t>
        </is>
      </c>
      <c r="D99" s="2" t="n"/>
      <c r="E99" s="2" t="inlineStr">
        <is>
          <t>W93</t>
        </is>
      </c>
      <c r="F99" s="2" t="inlineStr">
        <is>
          <t>W94</t>
        </is>
      </c>
      <c r="G99" s="2" t="n"/>
      <c r="H99" s="2" t="inlineStr">
        <is>
          <t>Los Angeles (Inglewood)</t>
        </is>
      </c>
      <c r="I99" s="2" t="inlineStr">
        <is>
          <t>Estados Unidos</t>
        </is>
      </c>
      <c r="J99" s="2">
        <f>IF(OR(AND($E99="México",$I99="México"),AND($E99="Estados Unidos",$I99="Estados Unidos"),AND($E99="Canadá",$I99="Canadá")),1,0)</f>
        <v/>
      </c>
      <c r="K99" s="2">
        <f>IF(OR(AND($F99="México",$I99="México"),AND($F99="Estados Unidos",$I99="Estados Unidos"),AND($F99="Canadá",$I99="Canadá")),1,0)</f>
        <v/>
      </c>
      <c r="L99" s="2" t="n">
        <v>98</v>
      </c>
    </row>
    <row r="100" ht="15" customHeight="1">
      <c r="A100" s="2" t="n">
        <v>99</v>
      </c>
      <c r="B100" s="2" t="inlineStr">
        <is>
          <t>2026-07-11</t>
        </is>
      </c>
      <c r="C100" s="2" t="inlineStr">
        <is>
          <t>Cuartos</t>
        </is>
      </c>
      <c r="D100" s="2" t="n"/>
      <c r="E100" s="2" t="inlineStr">
        <is>
          <t>W91</t>
        </is>
      </c>
      <c r="F100" s="2" t="inlineStr">
        <is>
          <t>W92</t>
        </is>
      </c>
      <c r="G100" s="2" t="n"/>
      <c r="H100" s="2" t="inlineStr">
        <is>
          <t>Miami (Miami Gardens)</t>
        </is>
      </c>
      <c r="I100" s="2" t="inlineStr">
        <is>
          <t>Estados Unidos</t>
        </is>
      </c>
      <c r="J100" s="2">
        <f>IF(OR(AND($E100="México",$I100="México"),AND($E100="Estados Unidos",$I100="Estados Unidos"),AND($E100="Canadá",$I100="Canadá")),1,0)</f>
        <v/>
      </c>
      <c r="K100" s="2">
        <f>IF(OR(AND($F100="México",$I100="México"),AND($F100="Estados Unidos",$I100="Estados Unidos"),AND($F100="Canadá",$I100="Canadá")),1,0)</f>
        <v/>
      </c>
      <c r="L100" s="2" t="n">
        <v>99</v>
      </c>
    </row>
    <row r="101" ht="15" customHeight="1">
      <c r="A101" s="2" t="n">
        <v>100</v>
      </c>
      <c r="B101" s="2" t="inlineStr">
        <is>
          <t>2026-07-11</t>
        </is>
      </c>
      <c r="C101" s="2" t="inlineStr">
        <is>
          <t>Cuartos</t>
        </is>
      </c>
      <c r="D101" s="2" t="n"/>
      <c r="E101" s="2" t="inlineStr">
        <is>
          <t>W95</t>
        </is>
      </c>
      <c r="F101" s="2" t="inlineStr">
        <is>
          <t>W96</t>
        </is>
      </c>
      <c r="G101" s="2" t="n"/>
      <c r="H101" s="2" t="inlineStr">
        <is>
          <t>Kansas City</t>
        </is>
      </c>
      <c r="I101" s="2" t="inlineStr">
        <is>
          <t>Estados Unidos</t>
        </is>
      </c>
      <c r="J101" s="2">
        <f>IF(OR(AND($E101="México",$I101="México"),AND($E101="Estados Unidos",$I101="Estados Unidos"),AND($E101="Canadá",$I101="Canadá")),1,0)</f>
        <v/>
      </c>
      <c r="K101" s="2">
        <f>IF(OR(AND($F101="México",$I101="México"),AND($F101="Estados Unidos",$I101="Estados Unidos"),AND($F101="Canadá",$I101="Canadá")),1,0)</f>
        <v/>
      </c>
      <c r="L101" s="2" t="n">
        <v>100</v>
      </c>
    </row>
    <row r="102" ht="15" customHeight="1">
      <c r="A102" s="2" t="n">
        <v>101</v>
      </c>
      <c r="B102" s="2" t="inlineStr">
        <is>
          <t>2026-07-14</t>
        </is>
      </c>
      <c r="C102" s="2" t="inlineStr">
        <is>
          <t>Semis</t>
        </is>
      </c>
      <c r="D102" s="2" t="n"/>
      <c r="E102" s="2" t="inlineStr">
        <is>
          <t>W97</t>
        </is>
      </c>
      <c r="F102" s="2" t="inlineStr">
        <is>
          <t>W98</t>
        </is>
      </c>
      <c r="G102" s="2" t="n"/>
      <c r="H102" s="2" t="inlineStr">
        <is>
          <t>Dallas (Arlington)</t>
        </is>
      </c>
      <c r="I102" s="2" t="inlineStr">
        <is>
          <t>Estados Unidos</t>
        </is>
      </c>
      <c r="J102" s="2">
        <f>IF(OR(AND($E102="México",$I102="México"),AND($E102="Estados Unidos",$I102="Estados Unidos"),AND($E102="Canadá",$I102="Canadá")),1,0)</f>
        <v/>
      </c>
      <c r="K102" s="2">
        <f>IF(OR(AND($F102="México",$I102="México"),AND($F102="Estados Unidos",$I102="Estados Unidos"),AND($F102="Canadá",$I102="Canadá")),1,0)</f>
        <v/>
      </c>
      <c r="L102" s="2" t="n">
        <v>101</v>
      </c>
    </row>
    <row r="103" ht="15" customHeight="1">
      <c r="A103" s="2" t="n">
        <v>102</v>
      </c>
      <c r="B103" s="2" t="inlineStr">
        <is>
          <t>2026-07-15</t>
        </is>
      </c>
      <c r="C103" s="2" t="inlineStr">
        <is>
          <t>Semis</t>
        </is>
      </c>
      <c r="D103" s="2" t="n"/>
      <c r="E103" s="2" t="inlineStr">
        <is>
          <t>W99</t>
        </is>
      </c>
      <c r="F103" s="2" t="inlineStr">
        <is>
          <t>W100</t>
        </is>
      </c>
      <c r="G103" s="2" t="n"/>
      <c r="H103" s="2" t="inlineStr">
        <is>
          <t>Atlanta</t>
        </is>
      </c>
      <c r="I103" s="2" t="inlineStr">
        <is>
          <t>Estados Unidos</t>
        </is>
      </c>
      <c r="J103" s="2">
        <f>IF(OR(AND($E103="México",$I103="México"),AND($E103="Estados Unidos",$I103="Estados Unidos"),AND($E103="Canadá",$I103="Canadá")),1,0)</f>
        <v/>
      </c>
      <c r="K103" s="2">
        <f>IF(OR(AND($F103="México",$I103="México"),AND($F103="Estados Unidos",$I103="Estados Unidos"),AND($F103="Canadá",$I103="Canadá")),1,0)</f>
        <v/>
      </c>
      <c r="L103" s="2" t="n">
        <v>102</v>
      </c>
    </row>
    <row r="104" ht="15" customHeight="1">
      <c r="A104" s="2" t="n">
        <v>103</v>
      </c>
      <c r="B104" s="2" t="inlineStr">
        <is>
          <t>2026-07-18</t>
        </is>
      </c>
      <c r="C104" s="2" t="inlineStr">
        <is>
          <t>3er Puesto</t>
        </is>
      </c>
      <c r="D104" s="2" t="n"/>
      <c r="E104" s="2" t="inlineStr">
        <is>
          <t>L101</t>
        </is>
      </c>
      <c r="F104" s="2" t="inlineStr">
        <is>
          <t>L102</t>
        </is>
      </c>
      <c r="G104" s="2" t="n"/>
      <c r="H104" s="2" t="inlineStr">
        <is>
          <t>Miami (Miami Gardens)</t>
        </is>
      </c>
      <c r="I104" s="2" t="inlineStr">
        <is>
          <t>Estados Unidos</t>
        </is>
      </c>
      <c r="J104" s="2">
        <f>IF(OR(AND($E104="México",$I104="México"),AND($E104="Estados Unidos",$I104="Estados Unidos"),AND($E104="Canadá",$I104="Canadá")),1,0)</f>
        <v/>
      </c>
      <c r="K104" s="2">
        <f>IF(OR(AND($F104="México",$I104="México"),AND($F104="Estados Unidos",$I104="Estados Unidos"),AND($F104="Canadá",$I104="Canadá")),1,0)</f>
        <v/>
      </c>
      <c r="L104" s="2" t="n">
        <v>103</v>
      </c>
    </row>
    <row r="105" ht="15" customHeight="1">
      <c r="A105" s="2" t="n">
        <v>104</v>
      </c>
      <c r="B105" s="2" t="inlineStr">
        <is>
          <t>2026-07-19</t>
        </is>
      </c>
      <c r="C105" s="2" t="inlineStr">
        <is>
          <t>Final</t>
        </is>
      </c>
      <c r="D105" s="2" t="n"/>
      <c r="E105" s="2" t="inlineStr">
        <is>
          <t>W101</t>
        </is>
      </c>
      <c r="F105" s="2" t="inlineStr">
        <is>
          <t>W102</t>
        </is>
      </c>
      <c r="G105" s="2" t="n"/>
      <c r="H105" s="2" t="inlineStr">
        <is>
          <t>New York/New Jersey (East Rutherford)</t>
        </is>
      </c>
      <c r="I105" s="2" t="inlineStr">
        <is>
          <t>Estados Unidos</t>
        </is>
      </c>
      <c r="J105" s="2">
        <f>IF(OR(AND($E105="México",$I105="México"),AND($E105="Estados Unidos",$I105="Estados Unidos"),AND($E105="Canadá",$I105="Canadá")),1,0)</f>
        <v/>
      </c>
      <c r="K105" s="2">
        <f>IF(OR(AND($F105="México",$I105="México"),AND($F105="Estados Unidos",$I105="Estados Unidos"),AND($F105="Canadá",$I105="Canadá")),1,0)</f>
        <v/>
      </c>
      <c r="L105" s="2" t="n">
        <v>104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G107"/>
  <sheetViews>
    <sheetView zoomScaleNormal="100" workbookViewId="0">
      <pane ySplit="1" topLeftCell="A2" activePane="bottomLeft" state="frozen"/>
      <selection pane="bottomLeft" activeCell="D4" sqref="D4:D5"/>
    </sheetView>
  </sheetViews>
  <sheetFormatPr baseColWidth="10" defaultColWidth="8.6640625" defaultRowHeight="14.25"/>
  <cols>
    <col width="10" customWidth="1" min="1" max="1"/>
    <col width="9" customWidth="1" min="2" max="3"/>
    <col width="12" customWidth="1" min="4" max="4"/>
    <col width="16" customWidth="1" min="5" max="5"/>
    <col width="20" customWidth="1" min="6" max="7"/>
  </cols>
  <sheetData>
    <row r="1" ht="15" customHeight="1">
      <c r="A1" s="1" t="inlineStr">
        <is>
          <t>ID_Partido</t>
        </is>
      </c>
      <c r="B1" s="1" t="inlineStr">
        <is>
          <t>Goles_A</t>
        </is>
      </c>
      <c r="C1" s="1" t="inlineStr">
        <is>
          <t>Goles_B</t>
        </is>
      </c>
      <c r="D1" s="1" t="inlineStr">
        <is>
          <t>Definido_Por</t>
        </is>
      </c>
      <c r="E1" s="1" t="inlineStr">
        <is>
          <t>Ganador_Penales</t>
        </is>
      </c>
      <c r="F1" s="1" t="inlineStr">
        <is>
          <t>Equipo_A (ref)</t>
        </is>
      </c>
      <c r="G1" s="1" t="inlineStr">
        <is>
          <t>Equipo_B (ref)</t>
        </is>
      </c>
    </row>
    <row r="2" ht="15" customHeight="1">
      <c r="A2" s="2" t="n">
        <v>1</v>
      </c>
      <c r="B2" s="3" t="n">
        <v>2</v>
      </c>
      <c r="C2" s="3" t="n">
        <v>0</v>
      </c>
      <c r="D2" s="3" t="inlineStr">
        <is>
          <t>90</t>
        </is>
      </c>
      <c r="E2" s="3" t="n"/>
      <c r="F2" s="2">
        <f>VLOOKUP($A2,Fixture!$A:$F,5,0)</f>
        <v/>
      </c>
      <c r="G2" s="2">
        <f>VLOOKUP($A2,Fixture!$A:$F,6,0)</f>
        <v/>
      </c>
    </row>
    <row r="3" ht="15" customHeight="1">
      <c r="A3" s="2" t="n">
        <v>2</v>
      </c>
      <c r="B3" s="3" t="n">
        <v>2</v>
      </c>
      <c r="C3" s="3" t="n">
        <v>1</v>
      </c>
      <c r="D3" s="3" t="inlineStr">
        <is>
          <t>90</t>
        </is>
      </c>
      <c r="E3" s="3" t="n"/>
      <c r="F3" s="2">
        <f>VLOOKUP($A3,Fixture!$A:$F,5,0)</f>
        <v/>
      </c>
      <c r="G3" s="2">
        <f>VLOOKUP($A3,Fixture!$A:$F,6,0)</f>
        <v/>
      </c>
    </row>
    <row r="4" ht="15" customHeight="1">
      <c r="A4" s="2" t="n">
        <v>3</v>
      </c>
      <c r="B4" s="3" t="n">
        <v>1</v>
      </c>
      <c r="C4" s="3" t="n">
        <v>1</v>
      </c>
      <c r="D4" s="3" t="inlineStr">
        <is>
          <t>90</t>
        </is>
      </c>
      <c r="E4" s="3" t="n"/>
      <c r="F4" s="2">
        <f>VLOOKUP($A4,Fixture!$A:$F,5,0)</f>
        <v/>
      </c>
      <c r="G4" s="2">
        <f>VLOOKUP($A4,Fixture!$A:$F,6,0)</f>
        <v/>
      </c>
    </row>
    <row r="5" ht="15" customHeight="1">
      <c r="A5" s="2" t="n">
        <v>4</v>
      </c>
      <c r="B5" s="3" t="n">
        <v>4</v>
      </c>
      <c r="C5" s="3" t="n">
        <v>1</v>
      </c>
      <c r="D5" s="3" t="inlineStr">
        <is>
          <t>90</t>
        </is>
      </c>
      <c r="E5" s="3" t="n"/>
      <c r="F5" s="2">
        <f>VLOOKUP($A5,Fixture!$A:$F,5,0)</f>
        <v/>
      </c>
      <c r="G5" s="2">
        <f>VLOOKUP($A5,Fixture!$A:$F,6,0)</f>
        <v/>
      </c>
    </row>
    <row r="6" ht="15" customHeight="1">
      <c r="A6" s="2" t="n">
        <v>5</v>
      </c>
      <c r="B6" s="3" t="n">
        <v>1</v>
      </c>
      <c r="C6" s="3" t="n">
        <v>1</v>
      </c>
      <c r="D6" s="3" t="inlineStr">
        <is>
          <t>90</t>
        </is>
      </c>
      <c r="E6" s="3" t="n"/>
      <c r="F6" s="2">
        <f>VLOOKUP($A6,Fixture!$A:$F,5,0)</f>
        <v/>
      </c>
      <c r="G6" s="2">
        <f>VLOOKUP($A6,Fixture!$A:$F,6,0)</f>
        <v/>
      </c>
    </row>
    <row r="7" ht="15" customHeight="1">
      <c r="A7" s="2" t="n">
        <v>6</v>
      </c>
      <c r="B7" s="3" t="n">
        <v>1</v>
      </c>
      <c r="C7" s="3" t="n">
        <v>1</v>
      </c>
      <c r="D7" s="3" t="inlineStr">
        <is>
          <t>90</t>
        </is>
      </c>
      <c r="E7" s="3" t="n"/>
      <c r="F7" s="2">
        <f>VLOOKUP($A7,Fixture!$A:$F,5,0)</f>
        <v/>
      </c>
      <c r="G7" s="2">
        <f>VLOOKUP($A7,Fixture!$A:$F,6,0)</f>
        <v/>
      </c>
    </row>
    <row r="8" ht="15" customHeight="1">
      <c r="A8" s="2" t="n">
        <v>7</v>
      </c>
      <c r="B8" s="3" t="n">
        <v>0</v>
      </c>
      <c r="C8" s="3" t="n">
        <v>1</v>
      </c>
      <c r="D8" s="3" t="inlineStr">
        <is>
          <t>90</t>
        </is>
      </c>
      <c r="E8" s="3" t="n"/>
      <c r="F8" s="2">
        <f>VLOOKUP($A8,Fixture!$A:$F,5,0)</f>
        <v/>
      </c>
      <c r="G8" s="2">
        <f>VLOOKUP($A8,Fixture!$A:$F,6,0)</f>
        <v/>
      </c>
    </row>
    <row r="9" ht="15" customHeight="1">
      <c r="A9" s="2" t="n">
        <v>8</v>
      </c>
      <c r="B9" s="3" t="n">
        <v>2</v>
      </c>
      <c r="C9" s="3" t="n">
        <v>0</v>
      </c>
      <c r="D9" s="3" t="inlineStr">
        <is>
          <t>90</t>
        </is>
      </c>
      <c r="E9" s="3" t="n"/>
      <c r="F9" s="2">
        <f>VLOOKUP($A9,Fixture!$A:$F,5,0)</f>
        <v/>
      </c>
      <c r="G9" s="2">
        <f>VLOOKUP($A9,Fixture!$A:$F,6,0)</f>
        <v/>
      </c>
    </row>
    <row r="10" ht="15" customHeight="1">
      <c r="A10" s="2" t="n">
        <v>9</v>
      </c>
      <c r="B10" s="3" t="n">
        <v>7</v>
      </c>
      <c r="C10" s="3" t="n">
        <v>1</v>
      </c>
      <c r="D10" s="3" t="inlineStr">
        <is>
          <t>90</t>
        </is>
      </c>
      <c r="E10" s="3" t="n"/>
      <c r="F10" s="2">
        <f>VLOOKUP($A10,Fixture!$A:$F,5,0)</f>
        <v/>
      </c>
      <c r="G10" s="2">
        <f>VLOOKUP($A10,Fixture!$A:$F,6,0)</f>
        <v/>
      </c>
    </row>
    <row r="11" ht="15" customHeight="1">
      <c r="A11" s="2" t="n">
        <v>10</v>
      </c>
      <c r="B11" s="3" t="n">
        <v>2</v>
      </c>
      <c r="C11" s="3" t="n">
        <v>2</v>
      </c>
      <c r="D11" s="3" t="inlineStr">
        <is>
          <t>90</t>
        </is>
      </c>
      <c r="E11" s="3" t="n"/>
      <c r="F11" s="2">
        <f>VLOOKUP($A11,Fixture!$A:$F,5,0)</f>
        <v/>
      </c>
      <c r="G11" s="2">
        <f>VLOOKUP($A11,Fixture!$A:$F,6,0)</f>
        <v/>
      </c>
    </row>
    <row r="12" ht="15" customHeight="1">
      <c r="A12" s="2" t="n">
        <v>11</v>
      </c>
      <c r="B12" s="3" t="n">
        <v>1</v>
      </c>
      <c r="C12" s="3" t="n">
        <v>0</v>
      </c>
      <c r="D12" s="3" t="inlineStr">
        <is>
          <t>90</t>
        </is>
      </c>
      <c r="E12" s="3" t="n"/>
      <c r="F12" s="2">
        <f>VLOOKUP($A12,Fixture!$A:$F,5,0)</f>
        <v/>
      </c>
      <c r="G12" s="2">
        <f>VLOOKUP($A12,Fixture!$A:$F,6,0)</f>
        <v/>
      </c>
    </row>
    <row r="13" ht="15" customHeight="1">
      <c r="A13" s="2" t="n">
        <v>12</v>
      </c>
      <c r="B13" s="3" t="n">
        <v>5</v>
      </c>
      <c r="C13" s="3" t="n">
        <v>1</v>
      </c>
      <c r="D13" s="3" t="inlineStr">
        <is>
          <t>90</t>
        </is>
      </c>
      <c r="E13" s="3" t="n"/>
      <c r="F13" s="2">
        <f>VLOOKUP($A13,Fixture!$A:$F,5,0)</f>
        <v/>
      </c>
      <c r="G13" s="2">
        <f>VLOOKUP($A13,Fixture!$A:$F,6,0)</f>
        <v/>
      </c>
    </row>
    <row r="14" ht="15" customHeight="1">
      <c r="A14" s="2" t="n">
        <v>13</v>
      </c>
      <c r="B14" s="3" t="n">
        <v>0</v>
      </c>
      <c r="C14" s="3" t="n">
        <v>0</v>
      </c>
      <c r="D14" s="3" t="inlineStr">
        <is>
          <t>90</t>
        </is>
      </c>
      <c r="E14" s="3" t="n"/>
      <c r="F14" s="2">
        <f>VLOOKUP($A14,Fixture!$A:$F,5,0)</f>
        <v/>
      </c>
      <c r="G14" s="2">
        <f>VLOOKUP($A14,Fixture!$A:$F,6,0)</f>
        <v/>
      </c>
    </row>
    <row r="15" ht="15" customHeight="1">
      <c r="A15" s="2" t="n">
        <v>14</v>
      </c>
      <c r="B15" s="3" t="n">
        <v>1</v>
      </c>
      <c r="C15" s="3" t="n">
        <v>1</v>
      </c>
      <c r="D15" s="3" t="inlineStr">
        <is>
          <t>90</t>
        </is>
      </c>
      <c r="E15" s="3" t="n"/>
      <c r="F15" s="2">
        <f>VLOOKUP($A15,Fixture!$A:$F,5,0)</f>
        <v/>
      </c>
      <c r="G15" s="2">
        <f>VLOOKUP($A15,Fixture!$A:$F,6,0)</f>
        <v/>
      </c>
    </row>
    <row r="16" ht="15" customHeight="1">
      <c r="A16" s="2" t="n">
        <v>15</v>
      </c>
      <c r="B16" s="3" t="n">
        <v>1</v>
      </c>
      <c r="C16" s="3" t="n">
        <v>1</v>
      </c>
      <c r="D16" s="3" t="inlineStr">
        <is>
          <t>90</t>
        </is>
      </c>
      <c r="E16" s="3" t="n"/>
      <c r="F16" s="2">
        <f>VLOOKUP($A16,Fixture!$A:$F,5,0)</f>
        <v/>
      </c>
      <c r="G16" s="2">
        <f>VLOOKUP($A16,Fixture!$A:$F,6,0)</f>
        <v/>
      </c>
    </row>
    <row r="17" ht="15" customHeight="1">
      <c r="A17" s="2" t="n">
        <v>16</v>
      </c>
      <c r="B17" s="3" t="n">
        <v>2</v>
      </c>
      <c r="C17" s="3" t="n">
        <v>2</v>
      </c>
      <c r="D17" s="3" t="inlineStr">
        <is>
          <t>90</t>
        </is>
      </c>
      <c r="E17" s="3" t="n"/>
      <c r="F17" s="2">
        <f>VLOOKUP($A17,Fixture!$A:$F,5,0)</f>
        <v/>
      </c>
      <c r="G17" s="2">
        <f>VLOOKUP($A17,Fixture!$A:$F,6,0)</f>
        <v/>
      </c>
    </row>
    <row r="18" ht="15" customHeight="1">
      <c r="A18" s="2" t="n">
        <v>17</v>
      </c>
      <c r="B18" s="3" t="n">
        <v>3</v>
      </c>
      <c r="C18" s="3" t="n">
        <v>1</v>
      </c>
      <c r="D18" s="3" t="inlineStr">
        <is>
          <t>90</t>
        </is>
      </c>
      <c r="E18" s="3" t="n"/>
      <c r="F18" s="2">
        <f>VLOOKUP($A18,Fixture!$A:$F,5,0)</f>
        <v/>
      </c>
      <c r="G18" s="2">
        <f>VLOOKUP($A18,Fixture!$A:$F,6,0)</f>
        <v/>
      </c>
    </row>
    <row r="19" ht="15" customHeight="1">
      <c r="A19" s="2" t="n">
        <v>18</v>
      </c>
      <c r="B19" s="3" t="n">
        <v>1</v>
      </c>
      <c r="C19" s="3" t="n">
        <v>4</v>
      </c>
      <c r="D19" s="3" t="inlineStr">
        <is>
          <t>90</t>
        </is>
      </c>
      <c r="E19" s="3" t="n"/>
      <c r="F19" s="2">
        <f>VLOOKUP($A19,Fixture!$A:$F,5,0)</f>
        <v/>
      </c>
      <c r="G19" s="2">
        <f>VLOOKUP($A19,Fixture!$A:$F,6,0)</f>
        <v/>
      </c>
    </row>
    <row r="20" ht="15" customHeight="1">
      <c r="A20" s="2" t="n">
        <v>19</v>
      </c>
      <c r="B20" s="3" t="n">
        <v>3</v>
      </c>
      <c r="C20" s="3" t="n">
        <v>0</v>
      </c>
      <c r="D20" s="3" t="inlineStr">
        <is>
          <t>90</t>
        </is>
      </c>
      <c r="E20" s="3" t="n"/>
      <c r="F20" s="2">
        <f>VLOOKUP($A20,Fixture!$A:$F,5,0)</f>
        <v/>
      </c>
      <c r="G20" s="2">
        <f>VLOOKUP($A20,Fixture!$A:$F,6,0)</f>
        <v/>
      </c>
    </row>
    <row r="21" ht="15" customHeight="1">
      <c r="A21" s="2" t="n">
        <v>20</v>
      </c>
      <c r="B21" s="3" t="n">
        <v>3</v>
      </c>
      <c r="C21" s="3" t="n">
        <v>1</v>
      </c>
      <c r="D21" s="3" t="inlineStr">
        <is>
          <t>90</t>
        </is>
      </c>
      <c r="E21" s="3" t="n"/>
      <c r="F21" s="2">
        <f>VLOOKUP($A21,Fixture!$A:$F,5,0)</f>
        <v/>
      </c>
      <c r="G21" s="2">
        <f>VLOOKUP($A21,Fixture!$A:$F,6,0)</f>
        <v/>
      </c>
    </row>
    <row r="22" ht="15" customHeight="1">
      <c r="A22" s="2" t="n">
        <v>21</v>
      </c>
      <c r="B22" s="3" t="n">
        <v>1</v>
      </c>
      <c r="C22" s="3" t="n">
        <v>1</v>
      </c>
      <c r="D22" s="3" t="inlineStr">
        <is>
          <t>90</t>
        </is>
      </c>
      <c r="E22" s="3" t="n"/>
      <c r="F22" s="2">
        <f>VLOOKUP($A22,Fixture!$A:$F,5,0)</f>
        <v/>
      </c>
      <c r="G22" s="2">
        <f>VLOOKUP($A22,Fixture!$A:$F,6,0)</f>
        <v/>
      </c>
    </row>
    <row r="23" ht="15" customHeight="1">
      <c r="A23" s="2" t="n">
        <v>22</v>
      </c>
      <c r="B23" s="3" t="n">
        <v>4</v>
      </c>
      <c r="C23" s="3" t="n">
        <v>2</v>
      </c>
      <c r="D23" s="3" t="inlineStr">
        <is>
          <t>90</t>
        </is>
      </c>
      <c r="E23" s="3" t="n"/>
      <c r="F23" s="2">
        <f>VLOOKUP($A23,Fixture!$A:$F,5,0)</f>
        <v/>
      </c>
      <c r="G23" s="2">
        <f>VLOOKUP($A23,Fixture!$A:$F,6,0)</f>
        <v/>
      </c>
    </row>
    <row r="24" ht="15" customHeight="1">
      <c r="A24" s="2" t="n">
        <v>23</v>
      </c>
      <c r="B24" s="3" t="n">
        <v>1</v>
      </c>
      <c r="C24" s="3" t="n">
        <v>0</v>
      </c>
      <c r="D24" s="3" t="inlineStr">
        <is>
          <t>90</t>
        </is>
      </c>
      <c r="E24" s="3" t="n"/>
      <c r="F24" s="2">
        <f>VLOOKUP($A24,Fixture!$A:$F,5,0)</f>
        <v/>
      </c>
      <c r="G24" s="2">
        <f>VLOOKUP($A24,Fixture!$A:$F,6,0)</f>
        <v/>
      </c>
    </row>
    <row r="25" ht="15" customHeight="1">
      <c r="A25" s="2" t="n">
        <v>24</v>
      </c>
      <c r="B25" s="3" t="n">
        <v>1</v>
      </c>
      <c r="C25" s="3" t="n">
        <v>3</v>
      </c>
      <c r="D25" s="3" t="inlineStr">
        <is>
          <t>90</t>
        </is>
      </c>
      <c r="E25" s="3" t="n"/>
      <c r="F25" s="2">
        <f>VLOOKUP($A25,Fixture!$A:$F,5,0)</f>
        <v/>
      </c>
      <c r="G25" s="2">
        <f>VLOOKUP($A25,Fixture!$A:$F,6,0)</f>
        <v/>
      </c>
    </row>
    <row r="26" ht="15" customHeight="1">
      <c r="A26" s="2" t="n">
        <v>25</v>
      </c>
      <c r="B26" s="3" t="n">
        <v>1</v>
      </c>
      <c r="C26" s="3" t="n">
        <v>1</v>
      </c>
      <c r="D26" s="3" t="inlineStr">
        <is>
          <t>90</t>
        </is>
      </c>
      <c r="E26" s="3" t="n"/>
      <c r="F26" s="2">
        <f>VLOOKUP($A26,Fixture!$A:$F,5,0)</f>
        <v/>
      </c>
      <c r="G26" s="2">
        <f>VLOOKUP($A26,Fixture!$A:$F,6,0)</f>
        <v/>
      </c>
    </row>
    <row r="27" ht="15" customHeight="1">
      <c r="A27" s="2" t="n">
        <v>26</v>
      </c>
      <c r="B27" s="3" t="n">
        <v>4</v>
      </c>
      <c r="C27" s="3" t="n">
        <v>1</v>
      </c>
      <c r="D27" s="3" t="inlineStr">
        <is>
          <t>90</t>
        </is>
      </c>
      <c r="E27" s="3" t="n"/>
      <c r="F27" s="2">
        <f>VLOOKUP($A27,Fixture!$A:$F,5,0)</f>
        <v/>
      </c>
      <c r="G27" s="2">
        <f>VLOOKUP($A27,Fixture!$A:$F,6,0)</f>
        <v/>
      </c>
    </row>
    <row r="28" ht="15" customHeight="1">
      <c r="A28" s="2" t="n">
        <v>27</v>
      </c>
      <c r="B28" s="3" t="n">
        <v>6</v>
      </c>
      <c r="C28" s="3" t="n">
        <v>0</v>
      </c>
      <c r="D28" s="3" t="inlineStr">
        <is>
          <t>90</t>
        </is>
      </c>
      <c r="E28" s="3" t="n"/>
      <c r="F28" s="2">
        <f>VLOOKUP($A28,Fixture!$A:$F,5,0)</f>
        <v/>
      </c>
      <c r="G28" s="2">
        <f>VLOOKUP($A28,Fixture!$A:$F,6,0)</f>
        <v/>
      </c>
    </row>
    <row r="29" ht="15" customHeight="1">
      <c r="A29" s="2" t="n">
        <v>28</v>
      </c>
      <c r="B29" s="3" t="n">
        <v>1</v>
      </c>
      <c r="C29" s="3" t="n">
        <v>0</v>
      </c>
      <c r="D29" s="3" t="inlineStr">
        <is>
          <t>90</t>
        </is>
      </c>
      <c r="E29" s="3" t="n"/>
      <c r="F29" s="2">
        <f>VLOOKUP($A29,Fixture!$A:$F,5,0)</f>
        <v/>
      </c>
      <c r="G29" s="2">
        <f>VLOOKUP($A29,Fixture!$A:$F,6,0)</f>
        <v/>
      </c>
    </row>
    <row r="30" ht="15" customHeight="1">
      <c r="A30" s="2" t="n">
        <v>29</v>
      </c>
      <c r="B30" s="3" t="n">
        <v>2</v>
      </c>
      <c r="C30" s="3" t="n">
        <v>0</v>
      </c>
      <c r="D30" s="3" t="inlineStr">
        <is>
          <t>90</t>
        </is>
      </c>
      <c r="E30" s="3" t="n"/>
      <c r="F30" s="2">
        <f>VLOOKUP($A30,Fixture!$A:$F,5,0)</f>
        <v/>
      </c>
      <c r="G30" s="2">
        <f>VLOOKUP($A30,Fixture!$A:$F,6,0)</f>
        <v/>
      </c>
    </row>
    <row r="31" ht="15" customHeight="1">
      <c r="A31" s="2" t="n">
        <v>30</v>
      </c>
      <c r="B31" s="3" t="n">
        <v>0</v>
      </c>
      <c r="C31" s="3" t="n">
        <v>1</v>
      </c>
      <c r="D31" s="3" t="inlineStr">
        <is>
          <t>90</t>
        </is>
      </c>
      <c r="E31" s="3" t="n"/>
      <c r="F31" s="2">
        <f>VLOOKUP($A31,Fixture!$A:$F,5,0)</f>
        <v/>
      </c>
      <c r="G31" s="2">
        <f>VLOOKUP($A31,Fixture!$A:$F,6,0)</f>
        <v/>
      </c>
    </row>
    <row r="32" ht="15" customHeight="1">
      <c r="A32" s="2" t="n">
        <v>31</v>
      </c>
      <c r="B32" s="3" t="n">
        <v>3</v>
      </c>
      <c r="C32" s="3" t="n">
        <v>0</v>
      </c>
      <c r="D32" s="3" t="inlineStr">
        <is>
          <t>90</t>
        </is>
      </c>
      <c r="E32" s="3" t="n"/>
      <c r="F32" s="2">
        <f>VLOOKUP($A32,Fixture!$A:$F,5,0)</f>
        <v/>
      </c>
      <c r="G32" s="2">
        <f>VLOOKUP($A32,Fixture!$A:$F,6,0)</f>
        <v/>
      </c>
    </row>
    <row r="33" ht="15" customHeight="1">
      <c r="A33" s="2" t="n">
        <v>32</v>
      </c>
      <c r="B33" s="3" t="n">
        <v>0</v>
      </c>
      <c r="C33" s="3" t="n">
        <v>1</v>
      </c>
      <c r="D33" s="3" t="inlineStr">
        <is>
          <t>90</t>
        </is>
      </c>
      <c r="E33" s="3" t="n"/>
      <c r="F33" s="2">
        <f>VLOOKUP($A33,Fixture!$A:$F,5,0)</f>
        <v/>
      </c>
      <c r="G33" s="2">
        <f>VLOOKUP($A33,Fixture!$A:$F,6,0)</f>
        <v/>
      </c>
    </row>
    <row r="34" ht="15" customHeight="1">
      <c r="A34" s="2" t="n">
        <v>33</v>
      </c>
      <c r="B34" s="3" t="n">
        <v>5</v>
      </c>
      <c r="C34" s="3" t="n">
        <v>1</v>
      </c>
      <c r="D34" s="3" t="inlineStr">
        <is>
          <t>90</t>
        </is>
      </c>
      <c r="E34" s="3" t="n"/>
      <c r="F34" s="2">
        <f>VLOOKUP($A34,Fixture!$A:$F,5,0)</f>
        <v/>
      </c>
      <c r="G34" s="2">
        <f>VLOOKUP($A34,Fixture!$A:$F,6,0)</f>
        <v/>
      </c>
    </row>
    <row r="35" ht="15" customHeight="1">
      <c r="A35" s="2" t="n">
        <v>34</v>
      </c>
      <c r="B35" s="3" t="n">
        <v>2</v>
      </c>
      <c r="C35" s="3" t="n">
        <v>1</v>
      </c>
      <c r="D35" s="3" t="inlineStr">
        <is>
          <t>90</t>
        </is>
      </c>
      <c r="E35" s="3" t="n"/>
      <c r="F35" s="2">
        <f>VLOOKUP($A35,Fixture!$A:$F,5,0)</f>
        <v/>
      </c>
      <c r="G35" s="2">
        <f>VLOOKUP($A35,Fixture!$A:$F,6,0)</f>
        <v/>
      </c>
    </row>
    <row r="36" ht="15" customHeight="1">
      <c r="A36" s="2" t="n">
        <v>35</v>
      </c>
      <c r="B36" s="3" t="n">
        <v>0</v>
      </c>
      <c r="C36" s="3" t="n">
        <v>0</v>
      </c>
      <c r="D36" s="3" t="inlineStr">
        <is>
          <t>90</t>
        </is>
      </c>
      <c r="E36" s="3" t="n"/>
      <c r="F36" s="2">
        <f>VLOOKUP($A36,Fixture!$A:$F,5,0)</f>
        <v/>
      </c>
      <c r="G36" s="2">
        <f>VLOOKUP($A36,Fixture!$A:$F,6,0)</f>
        <v/>
      </c>
    </row>
    <row r="37" ht="15" customHeight="1">
      <c r="A37" s="2" t="n">
        <v>36</v>
      </c>
      <c r="B37" s="3" t="n">
        <v>0</v>
      </c>
      <c r="C37" s="3" t="n">
        <v>4</v>
      </c>
      <c r="D37" s="3" t="inlineStr">
        <is>
          <t>90</t>
        </is>
      </c>
      <c r="E37" s="3" t="n"/>
      <c r="F37" s="2">
        <f>VLOOKUP($A37,Fixture!$A:$F,5,0)</f>
        <v/>
      </c>
      <c r="G37" s="2">
        <f>VLOOKUP($A37,Fixture!$A:$F,6,0)</f>
        <v/>
      </c>
    </row>
    <row r="38" ht="15" customHeight="1">
      <c r="A38" s="2" t="n">
        <v>37</v>
      </c>
      <c r="B38" s="3" t="n">
        <v>4</v>
      </c>
      <c r="C38" s="3" t="n">
        <v>0</v>
      </c>
      <c r="D38" s="3" t="inlineStr">
        <is>
          <t>90</t>
        </is>
      </c>
      <c r="E38" s="3" t="n"/>
      <c r="F38" s="2">
        <f>VLOOKUP($A38,Fixture!$A:$F,5,0)</f>
        <v/>
      </c>
      <c r="G38" s="2">
        <f>VLOOKUP($A38,Fixture!$A:$F,6,0)</f>
        <v/>
      </c>
    </row>
    <row r="39" ht="15" customHeight="1">
      <c r="A39" s="2" t="n">
        <v>38</v>
      </c>
      <c r="B39" s="3" t="n">
        <v>0</v>
      </c>
      <c r="C39" s="3" t="n">
        <v>0</v>
      </c>
      <c r="D39" s="3" t="inlineStr">
        <is>
          <t>90</t>
        </is>
      </c>
      <c r="E39" s="3" t="n"/>
      <c r="F39" s="2">
        <f>VLOOKUP($A39,Fixture!$A:$F,5,0)</f>
        <v/>
      </c>
      <c r="G39" s="2">
        <f>VLOOKUP($A39,Fixture!$A:$F,6,0)</f>
        <v/>
      </c>
    </row>
    <row r="40" ht="15" customHeight="1">
      <c r="A40" s="2" t="n">
        <v>39</v>
      </c>
      <c r="B40" s="3" t="n">
        <v>2</v>
      </c>
      <c r="C40" s="3" t="n">
        <v>2</v>
      </c>
      <c r="D40" s="3" t="inlineStr">
        <is>
          <t>90</t>
        </is>
      </c>
      <c r="E40" s="3" t="n"/>
      <c r="F40" s="2">
        <f>VLOOKUP($A40,Fixture!$A:$F,5,0)</f>
        <v/>
      </c>
      <c r="G40" s="2">
        <f>VLOOKUP($A40,Fixture!$A:$F,6,0)</f>
        <v/>
      </c>
    </row>
    <row r="41" ht="15" customHeight="1">
      <c r="A41" s="2" t="n">
        <v>40</v>
      </c>
      <c r="B41" s="3" t="n">
        <v>1</v>
      </c>
      <c r="C41" s="3" t="n">
        <v>3</v>
      </c>
      <c r="D41" s="3" t="inlineStr">
        <is>
          <t>90</t>
        </is>
      </c>
      <c r="E41" s="3" t="n"/>
      <c r="F41" s="2">
        <f>VLOOKUP($A41,Fixture!$A:$F,5,0)</f>
        <v/>
      </c>
      <c r="G41" s="2">
        <f>VLOOKUP($A41,Fixture!$A:$F,6,0)</f>
        <v/>
      </c>
    </row>
    <row r="42" ht="15" customHeight="1">
      <c r="A42" s="2" t="n">
        <v>41</v>
      </c>
      <c r="B42" s="3" t="n">
        <v>2</v>
      </c>
      <c r="C42" s="3" t="n">
        <v>0</v>
      </c>
      <c r="D42" s="3" t="inlineStr">
        <is>
          <t>90</t>
        </is>
      </c>
      <c r="E42" s="3" t="n"/>
      <c r="F42" s="2">
        <f>VLOOKUP($A42,Fixture!$A:$F,5,0)</f>
        <v/>
      </c>
      <c r="G42" s="2">
        <f>VLOOKUP($A42,Fixture!$A:$F,6,0)</f>
        <v/>
      </c>
    </row>
    <row r="43" ht="15" customHeight="1">
      <c r="A43" s="2" t="n">
        <v>42</v>
      </c>
      <c r="B43" s="3" t="n">
        <v>3</v>
      </c>
      <c r="C43" s="3" t="n">
        <v>0</v>
      </c>
      <c r="D43" s="3" t="inlineStr">
        <is>
          <t>90</t>
        </is>
      </c>
      <c r="E43" s="3" t="n"/>
      <c r="F43" s="2">
        <f>VLOOKUP($A43,Fixture!$A:$F,5,0)</f>
        <v/>
      </c>
      <c r="G43" s="2">
        <f>VLOOKUP($A43,Fixture!$A:$F,6,0)</f>
        <v/>
      </c>
    </row>
    <row r="44" ht="15" customHeight="1">
      <c r="A44" s="2" t="n">
        <v>43</v>
      </c>
      <c r="B44" s="3" t="n">
        <v>3</v>
      </c>
      <c r="C44" s="3" t="n">
        <v>2</v>
      </c>
      <c r="D44" s="3" t="inlineStr">
        <is>
          <t>90</t>
        </is>
      </c>
      <c r="E44" s="3" t="n"/>
      <c r="F44" s="2">
        <f>VLOOKUP($A44,Fixture!$A:$F,5,0)</f>
        <v/>
      </c>
      <c r="G44" s="2">
        <f>VLOOKUP($A44,Fixture!$A:$F,6,0)</f>
        <v/>
      </c>
    </row>
    <row r="45" ht="15" customHeight="1">
      <c r="A45" s="2" t="n">
        <v>44</v>
      </c>
      <c r="B45" s="3" t="n">
        <v>1</v>
      </c>
      <c r="C45" s="3" t="n">
        <v>2</v>
      </c>
      <c r="D45" s="3" t="inlineStr">
        <is>
          <t>90</t>
        </is>
      </c>
      <c r="E45" s="3" t="n"/>
      <c r="F45" s="2">
        <f>VLOOKUP($A45,Fixture!$A:$F,5,0)</f>
        <v/>
      </c>
      <c r="G45" s="2">
        <f>VLOOKUP($A45,Fixture!$A:$F,6,0)</f>
        <v/>
      </c>
    </row>
    <row r="46" ht="15" customHeight="1">
      <c r="A46" s="2" t="n">
        <v>45</v>
      </c>
      <c r="B46" s="3" t="n">
        <v>5</v>
      </c>
      <c r="C46" s="3" t="n">
        <v>0</v>
      </c>
      <c r="D46" s="3" t="inlineStr">
        <is>
          <t>90</t>
        </is>
      </c>
      <c r="E46" s="3" t="n"/>
      <c r="F46" s="2">
        <f>VLOOKUP($A46,Fixture!$A:$F,5,0)</f>
        <v/>
      </c>
      <c r="G46" s="2">
        <f>VLOOKUP($A46,Fixture!$A:$F,6,0)</f>
        <v/>
      </c>
    </row>
    <row r="47" ht="15" customHeight="1">
      <c r="A47" s="2" t="n">
        <v>46</v>
      </c>
      <c r="B47" s="3" t="n">
        <v>0</v>
      </c>
      <c r="C47" s="3" t="n">
        <v>0</v>
      </c>
      <c r="D47" s="3" t="inlineStr">
        <is>
          <t>90</t>
        </is>
      </c>
      <c r="E47" s="3" t="n"/>
      <c r="F47" s="2">
        <f>VLOOKUP($A47,Fixture!$A:$F,5,0)</f>
        <v/>
      </c>
      <c r="G47" s="2">
        <f>VLOOKUP($A47,Fixture!$A:$F,6,0)</f>
        <v/>
      </c>
    </row>
    <row r="48" ht="15" customHeight="1">
      <c r="A48" s="2" t="n">
        <v>47</v>
      </c>
      <c r="B48" s="3" t="n">
        <v>0</v>
      </c>
      <c r="C48" s="3" t="n">
        <v>1</v>
      </c>
      <c r="D48" s="3" t="inlineStr">
        <is>
          <t>90</t>
        </is>
      </c>
      <c r="E48" s="3" t="n"/>
      <c r="F48" s="2">
        <f>VLOOKUP($A48,Fixture!$A:$F,5,0)</f>
        <v/>
      </c>
      <c r="G48" s="2">
        <f>VLOOKUP($A48,Fixture!$A:$F,6,0)</f>
        <v/>
      </c>
    </row>
    <row r="49" ht="15" customHeight="1">
      <c r="A49" s="2" t="n">
        <v>48</v>
      </c>
      <c r="B49" s="3" t="n">
        <v>1</v>
      </c>
      <c r="C49" s="3" t="n">
        <v>0</v>
      </c>
      <c r="D49" s="3" t="inlineStr">
        <is>
          <t>90</t>
        </is>
      </c>
      <c r="E49" s="3" t="n"/>
      <c r="F49" s="2">
        <f>VLOOKUP($A49,Fixture!$A:$F,5,0)</f>
        <v/>
      </c>
      <c r="G49" s="2">
        <f>VLOOKUP($A49,Fixture!$A:$F,6,0)</f>
        <v/>
      </c>
    </row>
    <row r="50" ht="15" customHeight="1">
      <c r="A50" s="2" t="n">
        <v>49</v>
      </c>
      <c r="B50" s="3" t="n">
        <v>2</v>
      </c>
      <c r="C50" s="3" t="n">
        <v>1</v>
      </c>
      <c r="D50" s="3" t="inlineStr">
        <is>
          <t>90</t>
        </is>
      </c>
      <c r="E50" s="3" t="n"/>
      <c r="F50" s="2">
        <f>VLOOKUP($A50,Fixture!$A:$F,5,0)</f>
        <v/>
      </c>
      <c r="G50" s="2">
        <f>VLOOKUP($A50,Fixture!$A:$F,6,0)</f>
        <v/>
      </c>
    </row>
    <row r="51" ht="15" customHeight="1">
      <c r="A51" s="2" t="n">
        <v>50</v>
      </c>
      <c r="B51" s="3" t="n">
        <v>3</v>
      </c>
      <c r="C51" s="3" t="n">
        <v>1</v>
      </c>
      <c r="D51" s="3" t="inlineStr">
        <is>
          <t>90</t>
        </is>
      </c>
      <c r="E51" s="3" t="n"/>
      <c r="F51" s="2">
        <f>VLOOKUP($A51,Fixture!$A:$F,5,0)</f>
        <v/>
      </c>
      <c r="G51" s="2">
        <f>VLOOKUP($A51,Fixture!$A:$F,6,0)</f>
        <v/>
      </c>
    </row>
    <row r="52" ht="15" customHeight="1">
      <c r="A52" s="2" t="n">
        <v>51</v>
      </c>
      <c r="B52" s="3" t="n">
        <v>0</v>
      </c>
      <c r="C52" s="3" t="n">
        <v>3</v>
      </c>
      <c r="D52" s="3" t="inlineStr">
        <is>
          <t>90</t>
        </is>
      </c>
      <c r="E52" s="3" t="n"/>
      <c r="F52" s="2">
        <f>VLOOKUP($A52,Fixture!$A:$F,5,0)</f>
        <v/>
      </c>
      <c r="G52" s="2">
        <f>VLOOKUP($A52,Fixture!$A:$F,6,0)</f>
        <v/>
      </c>
    </row>
    <row r="53" ht="15" customHeight="1">
      <c r="A53" s="2" t="n">
        <v>52</v>
      </c>
      <c r="B53" s="3" t="n">
        <v>4</v>
      </c>
      <c r="C53" s="3" t="n">
        <v>2</v>
      </c>
      <c r="D53" s="3" t="inlineStr">
        <is>
          <t>90</t>
        </is>
      </c>
      <c r="E53" s="3" t="n"/>
      <c r="F53" s="2">
        <f>VLOOKUP($A53,Fixture!$A:$F,5,0)</f>
        <v/>
      </c>
      <c r="G53" s="2">
        <f>VLOOKUP($A53,Fixture!$A:$F,6,0)</f>
        <v/>
      </c>
    </row>
    <row r="54" ht="15" customHeight="1">
      <c r="A54" s="2" t="n">
        <v>53</v>
      </c>
      <c r="B54" s="3" t="n">
        <v>0</v>
      </c>
      <c r="C54" s="3" t="n">
        <v>3</v>
      </c>
      <c r="D54" s="3" t="inlineStr">
        <is>
          <t>90</t>
        </is>
      </c>
      <c r="E54" s="3" t="n"/>
      <c r="F54" s="2">
        <f>VLOOKUP($A54,Fixture!$A:$F,5,0)</f>
        <v/>
      </c>
      <c r="G54" s="2">
        <f>VLOOKUP($A54,Fixture!$A:$F,6,0)</f>
        <v/>
      </c>
    </row>
    <row r="55" ht="15" customHeight="1">
      <c r="A55" s="2" t="n">
        <v>54</v>
      </c>
      <c r="B55" s="3" t="n">
        <v>1</v>
      </c>
      <c r="C55" s="3" t="n">
        <v>0</v>
      </c>
      <c r="D55" s="3" t="inlineStr">
        <is>
          <t>90</t>
        </is>
      </c>
      <c r="E55" s="3" t="n"/>
      <c r="F55" s="2">
        <f>VLOOKUP($A55,Fixture!$A:$F,5,0)</f>
        <v/>
      </c>
      <c r="G55" s="2">
        <f>VLOOKUP($A55,Fixture!$A:$F,6,0)</f>
        <v/>
      </c>
    </row>
    <row r="56" ht="15" customHeight="1">
      <c r="A56" s="2" t="n">
        <v>55</v>
      </c>
      <c r="B56" s="3" t="n">
        <v>0</v>
      </c>
      <c r="C56" s="3" t="n">
        <v>2</v>
      </c>
      <c r="D56" s="3" t="inlineStr">
        <is>
          <t>90</t>
        </is>
      </c>
      <c r="E56" s="3" t="n"/>
      <c r="F56" s="2">
        <f>VLOOKUP($A56,Fixture!$A:$F,5,0)</f>
        <v/>
      </c>
      <c r="G56" s="2">
        <f>VLOOKUP($A56,Fixture!$A:$F,6,0)</f>
        <v/>
      </c>
    </row>
    <row r="57" ht="15" customHeight="1">
      <c r="A57" s="2" t="n">
        <v>56</v>
      </c>
      <c r="B57" s="3" t="n">
        <v>2</v>
      </c>
      <c r="C57" s="3" t="n">
        <v>1</v>
      </c>
      <c r="D57" s="3" t="inlineStr">
        <is>
          <t>90</t>
        </is>
      </c>
      <c r="E57" s="3" t="n"/>
      <c r="F57" s="2">
        <f>VLOOKUP($A57,Fixture!$A:$F,5,0)</f>
        <v/>
      </c>
      <c r="G57" s="2">
        <f>VLOOKUP($A57,Fixture!$A:$F,6,0)</f>
        <v/>
      </c>
    </row>
    <row r="58" ht="15" customHeight="1">
      <c r="A58" s="2" t="n">
        <v>57</v>
      </c>
      <c r="B58" s="3" t="n">
        <v>1</v>
      </c>
      <c r="C58" s="3" t="n">
        <v>1</v>
      </c>
      <c r="D58" s="3" t="inlineStr">
        <is>
          <t>90</t>
        </is>
      </c>
      <c r="E58" s="3" t="n"/>
      <c r="F58" s="2">
        <f>VLOOKUP($A58,Fixture!$A:$F,5,0)</f>
        <v/>
      </c>
      <c r="G58" s="2">
        <f>VLOOKUP($A58,Fixture!$A:$F,6,0)</f>
        <v/>
      </c>
    </row>
    <row r="59" ht="15" customHeight="1">
      <c r="A59" s="2" t="n">
        <v>58</v>
      </c>
      <c r="B59" s="3" t="n">
        <v>1</v>
      </c>
      <c r="C59" s="3" t="n">
        <v>3</v>
      </c>
      <c r="D59" s="3" t="inlineStr">
        <is>
          <t>90</t>
        </is>
      </c>
      <c r="E59" s="3" t="n"/>
      <c r="F59" s="2">
        <f>VLOOKUP($A59,Fixture!$A:$F,5,0)</f>
        <v/>
      </c>
      <c r="G59" s="2">
        <f>VLOOKUP($A59,Fixture!$A:$F,6,0)</f>
        <v/>
      </c>
    </row>
    <row r="60" ht="15" customHeight="1">
      <c r="A60" s="2" t="n">
        <v>59</v>
      </c>
      <c r="B60" s="3" t="n">
        <v>3</v>
      </c>
      <c r="C60" s="3" t="n">
        <v>2</v>
      </c>
      <c r="D60" s="3" t="inlineStr">
        <is>
          <t>90</t>
        </is>
      </c>
      <c r="E60" s="3" t="n"/>
      <c r="F60" s="2">
        <f>VLOOKUP($A60,Fixture!$A:$F,5,0)</f>
        <v/>
      </c>
      <c r="G60" s="2">
        <f>VLOOKUP($A60,Fixture!$A:$F,6,0)</f>
        <v/>
      </c>
    </row>
    <row r="61" ht="15" customHeight="1">
      <c r="A61" s="2" t="n">
        <v>60</v>
      </c>
      <c r="B61" s="3" t="n">
        <v>0</v>
      </c>
      <c r="C61" s="3" t="n">
        <v>0</v>
      </c>
      <c r="D61" s="3" t="inlineStr">
        <is>
          <t>90</t>
        </is>
      </c>
      <c r="E61" s="3" t="n"/>
      <c r="F61" s="2">
        <f>VLOOKUP($A61,Fixture!$A:$F,5,0)</f>
        <v/>
      </c>
      <c r="G61" s="2">
        <f>VLOOKUP($A61,Fixture!$A:$F,6,0)</f>
        <v/>
      </c>
    </row>
    <row r="62" ht="15" customHeight="1">
      <c r="A62" s="2" t="n">
        <v>61</v>
      </c>
      <c r="B62" s="3" t="n">
        <v>1</v>
      </c>
      <c r="C62" s="3" t="n">
        <v>4</v>
      </c>
      <c r="D62" s="3" t="inlineStr">
        <is>
          <t>90</t>
        </is>
      </c>
      <c r="E62" s="3" t="n"/>
      <c r="F62" s="2">
        <f>VLOOKUP($A62,Fixture!$A:$F,5,0)</f>
        <v/>
      </c>
      <c r="G62" s="2">
        <f>VLOOKUP($A62,Fixture!$A:$F,6,0)</f>
        <v/>
      </c>
    </row>
    <row r="63" ht="15" customHeight="1">
      <c r="A63" s="2" t="n">
        <v>62</v>
      </c>
      <c r="B63" s="3" t="n">
        <v>5</v>
      </c>
      <c r="C63" s="3" t="n">
        <v>0</v>
      </c>
      <c r="D63" s="3" t="inlineStr">
        <is>
          <t>90</t>
        </is>
      </c>
      <c r="E63" s="3" t="n"/>
      <c r="F63" s="2">
        <f>VLOOKUP($A63,Fixture!$A:$F,5,0)</f>
        <v/>
      </c>
      <c r="G63" s="2">
        <f>VLOOKUP($A63,Fixture!$A:$F,6,0)</f>
        <v/>
      </c>
    </row>
    <row r="64" ht="15" customHeight="1">
      <c r="A64" s="2" t="n">
        <v>63</v>
      </c>
      <c r="B64" s="3" t="n">
        <v>0</v>
      </c>
      <c r="C64" s="3" t="n">
        <v>0</v>
      </c>
      <c r="D64" s="3" t="inlineStr">
        <is>
          <t>90</t>
        </is>
      </c>
      <c r="E64" s="3" t="n"/>
      <c r="F64" s="2">
        <f>VLOOKUP($A64,Fixture!$A:$F,5,0)</f>
        <v/>
      </c>
      <c r="G64" s="2">
        <f>VLOOKUP($A64,Fixture!$A:$F,6,0)</f>
        <v/>
      </c>
    </row>
    <row r="65" ht="15" customHeight="1">
      <c r="A65" s="2" t="n">
        <v>64</v>
      </c>
      <c r="B65" s="3" t="n">
        <v>0</v>
      </c>
      <c r="C65" s="3" t="n">
        <v>1</v>
      </c>
      <c r="D65" s="3" t="inlineStr">
        <is>
          <t>90</t>
        </is>
      </c>
      <c r="E65" s="3" t="n"/>
      <c r="F65" s="2">
        <f>VLOOKUP($A65,Fixture!$A:$F,5,0)</f>
        <v/>
      </c>
      <c r="G65" s="2">
        <f>VLOOKUP($A65,Fixture!$A:$F,6,0)</f>
        <v/>
      </c>
    </row>
    <row r="66" ht="15" customHeight="1">
      <c r="A66" s="2" t="n">
        <v>65</v>
      </c>
      <c r="B66" s="3" t="n">
        <v>1</v>
      </c>
      <c r="C66" s="3" t="n">
        <v>1</v>
      </c>
      <c r="D66" s="3" t="inlineStr">
        <is>
          <t>90</t>
        </is>
      </c>
      <c r="E66" s="3" t="n"/>
      <c r="F66" s="2">
        <f>VLOOKUP($A66,Fixture!$A:$F,5,0)</f>
        <v/>
      </c>
      <c r="G66" s="2">
        <f>VLOOKUP($A66,Fixture!$A:$F,6,0)</f>
        <v/>
      </c>
    </row>
    <row r="67" ht="15" customHeight="1">
      <c r="A67" s="2" t="n">
        <v>66</v>
      </c>
      <c r="B67" s="3" t="n">
        <v>1</v>
      </c>
      <c r="C67" s="3" t="n">
        <v>5</v>
      </c>
      <c r="D67" s="3" t="inlineStr">
        <is>
          <t>90</t>
        </is>
      </c>
      <c r="E67" s="3" t="n"/>
      <c r="F67" s="2">
        <f>VLOOKUP($A67,Fixture!$A:$F,5,0)</f>
        <v/>
      </c>
      <c r="G67" s="2">
        <f>VLOOKUP($A67,Fixture!$A:$F,6,0)</f>
        <v/>
      </c>
    </row>
    <row r="68" ht="15" customHeight="1">
      <c r="A68" s="2" t="n">
        <v>67</v>
      </c>
      <c r="B68" s="3" t="n">
        <v>0</v>
      </c>
      <c r="C68" s="3" t="n">
        <v>2</v>
      </c>
      <c r="D68" s="3" t="inlineStr">
        <is>
          <t>90</t>
        </is>
      </c>
      <c r="E68" s="3" t="n"/>
      <c r="F68" s="2">
        <f>VLOOKUP($A68,Fixture!$A:$F,5,0)</f>
        <v/>
      </c>
      <c r="G68" s="2">
        <f>VLOOKUP($A68,Fixture!$A:$F,6,0)</f>
        <v/>
      </c>
    </row>
    <row r="69" ht="15" customHeight="1">
      <c r="A69" s="2" t="n">
        <v>68</v>
      </c>
      <c r="B69" s="3" t="n">
        <v>2</v>
      </c>
      <c r="C69" s="3" t="n">
        <v>1</v>
      </c>
      <c r="D69" s="3" t="inlineStr">
        <is>
          <t>90</t>
        </is>
      </c>
      <c r="E69" s="3" t="n"/>
      <c r="F69" s="2">
        <f>VLOOKUP($A69,Fixture!$A:$F,5,0)</f>
        <v/>
      </c>
      <c r="G69" s="2">
        <f>VLOOKUP($A69,Fixture!$A:$F,6,0)</f>
        <v/>
      </c>
    </row>
    <row r="70" ht="15" customHeight="1">
      <c r="A70" s="2" t="n">
        <v>69</v>
      </c>
      <c r="B70" s="3" t="n">
        <v>0</v>
      </c>
      <c r="C70" s="3" t="n">
        <v>0</v>
      </c>
      <c r="D70" s="3" t="inlineStr">
        <is>
          <t>90</t>
        </is>
      </c>
      <c r="E70" s="3" t="n"/>
      <c r="F70" s="2">
        <f>VLOOKUP($A70,Fixture!$A:$F,5,0)</f>
        <v/>
      </c>
      <c r="G70" s="2">
        <f>VLOOKUP($A70,Fixture!$A:$F,6,0)</f>
        <v/>
      </c>
    </row>
    <row r="71" ht="15" customHeight="1">
      <c r="A71" s="2" t="n">
        <v>70</v>
      </c>
      <c r="B71" s="3" t="n">
        <v>3</v>
      </c>
      <c r="C71" s="3" t="n">
        <v>1</v>
      </c>
      <c r="D71" s="3" t="inlineStr">
        <is>
          <t>90</t>
        </is>
      </c>
      <c r="E71" s="3" t="n"/>
      <c r="F71" s="2">
        <f>VLOOKUP($A71,Fixture!$A:$F,5,0)</f>
        <v/>
      </c>
      <c r="G71" s="2">
        <f>VLOOKUP($A71,Fixture!$A:$F,6,0)</f>
        <v/>
      </c>
    </row>
    <row r="72" ht="15" customHeight="1">
      <c r="A72" s="2" t="n">
        <v>71</v>
      </c>
      <c r="B72" s="3" t="n">
        <v>3</v>
      </c>
      <c r="C72" s="3" t="n">
        <v>3</v>
      </c>
      <c r="D72" s="3" t="inlineStr">
        <is>
          <t>90</t>
        </is>
      </c>
      <c r="E72" s="3" t="n"/>
      <c r="F72" s="2">
        <f>VLOOKUP($A72,Fixture!$A:$F,5,0)</f>
        <v/>
      </c>
      <c r="G72" s="2">
        <f>VLOOKUP($A72,Fixture!$A:$F,6,0)</f>
        <v/>
      </c>
    </row>
    <row r="73" ht="15" customHeight="1">
      <c r="A73" s="2" t="n">
        <v>72</v>
      </c>
      <c r="B73" s="3" t="n">
        <v>1</v>
      </c>
      <c r="C73" s="3" t="n">
        <v>3</v>
      </c>
      <c r="D73" s="3" t="inlineStr">
        <is>
          <t>90</t>
        </is>
      </c>
      <c r="E73" s="3" t="n"/>
      <c r="F73" s="2">
        <f>VLOOKUP($A73,Fixture!$A:$F,5,0)</f>
        <v/>
      </c>
      <c r="G73" s="2">
        <f>VLOOKUP($A73,Fixture!$A:$F,6,0)</f>
        <v/>
      </c>
    </row>
    <row r="74" ht="15" customHeight="1">
      <c r="A74" s="2" t="n">
        <v>73</v>
      </c>
      <c r="B74" s="3" t="n"/>
      <c r="C74" s="3" t="n"/>
      <c r="D74" s="3" t="n"/>
      <c r="E74" s="3" t="n"/>
      <c r="F74" s="2">
        <f>VLOOKUP($A74,Fixture!$A:$F,5,0)</f>
        <v/>
      </c>
      <c r="G74" s="2">
        <f>VLOOKUP($A74,Fixture!$A:$F,6,0)</f>
        <v/>
      </c>
    </row>
    <row r="75" ht="15" customHeight="1">
      <c r="A75" s="2" t="n">
        <v>74</v>
      </c>
      <c r="B75" s="3" t="n"/>
      <c r="C75" s="3" t="n"/>
      <c r="D75" s="3" t="n"/>
      <c r="E75" s="3" t="n"/>
      <c r="F75" s="2">
        <f>VLOOKUP($A75,Fixture!$A:$F,5,0)</f>
        <v/>
      </c>
      <c r="G75" s="2">
        <f>VLOOKUP($A75,Fixture!$A:$F,6,0)</f>
        <v/>
      </c>
    </row>
    <row r="76" ht="15" customHeight="1">
      <c r="A76" s="2" t="n">
        <v>75</v>
      </c>
      <c r="B76" s="3" t="n"/>
      <c r="C76" s="3" t="n"/>
      <c r="D76" s="3" t="n"/>
      <c r="E76" s="3" t="n"/>
      <c r="F76" s="2">
        <f>VLOOKUP($A76,Fixture!$A:$F,5,0)</f>
        <v/>
      </c>
      <c r="G76" s="2">
        <f>VLOOKUP($A76,Fixture!$A:$F,6,0)</f>
        <v/>
      </c>
    </row>
    <row r="77" ht="15" customHeight="1">
      <c r="A77" s="2" t="n">
        <v>76</v>
      </c>
      <c r="B77" s="3" t="n"/>
      <c r="C77" s="3" t="n"/>
      <c r="D77" s="3" t="n"/>
      <c r="E77" s="3" t="n"/>
      <c r="F77" s="2">
        <f>VLOOKUP($A77,Fixture!$A:$F,5,0)</f>
        <v/>
      </c>
      <c r="G77" s="2">
        <f>VLOOKUP($A77,Fixture!$A:$F,6,0)</f>
        <v/>
      </c>
    </row>
    <row r="78" ht="15" customHeight="1">
      <c r="A78" s="2" t="n">
        <v>77</v>
      </c>
      <c r="B78" s="3" t="n"/>
      <c r="C78" s="3" t="n"/>
      <c r="D78" s="3" t="n"/>
      <c r="E78" s="3" t="n"/>
      <c r="F78" s="2">
        <f>VLOOKUP($A78,Fixture!$A:$F,5,0)</f>
        <v/>
      </c>
      <c r="G78" s="2">
        <f>VLOOKUP($A78,Fixture!$A:$F,6,0)</f>
        <v/>
      </c>
    </row>
    <row r="79" ht="15" customHeight="1">
      <c r="A79" s="2" t="n">
        <v>78</v>
      </c>
      <c r="B79" s="3" t="n"/>
      <c r="C79" s="3" t="n"/>
      <c r="D79" s="3" t="n"/>
      <c r="E79" s="3" t="n"/>
      <c r="F79" s="2">
        <f>VLOOKUP($A79,Fixture!$A:$F,5,0)</f>
        <v/>
      </c>
      <c r="G79" s="2">
        <f>VLOOKUP($A79,Fixture!$A:$F,6,0)</f>
        <v/>
      </c>
    </row>
    <row r="80" ht="15" customHeight="1">
      <c r="A80" s="2" t="n">
        <v>79</v>
      </c>
      <c r="B80" s="3" t="n"/>
      <c r="C80" s="3" t="n"/>
      <c r="D80" s="3" t="n"/>
      <c r="E80" s="3" t="n"/>
      <c r="F80" s="2">
        <f>VLOOKUP($A80,Fixture!$A:$F,5,0)</f>
        <v/>
      </c>
      <c r="G80" s="2">
        <f>VLOOKUP($A80,Fixture!$A:$F,6,0)</f>
        <v/>
      </c>
    </row>
    <row r="81" ht="15" customHeight="1">
      <c r="A81" s="2" t="n">
        <v>80</v>
      </c>
      <c r="B81" s="3" t="n"/>
      <c r="C81" s="3" t="n"/>
      <c r="D81" s="3" t="n"/>
      <c r="E81" s="3" t="n"/>
      <c r="F81" s="2">
        <f>VLOOKUP($A81,Fixture!$A:$F,5,0)</f>
        <v/>
      </c>
      <c r="G81" s="2">
        <f>VLOOKUP($A81,Fixture!$A:$F,6,0)</f>
        <v/>
      </c>
    </row>
    <row r="82" ht="15" customHeight="1">
      <c r="A82" s="2" t="n">
        <v>81</v>
      </c>
      <c r="B82" s="3" t="n"/>
      <c r="C82" s="3" t="n"/>
      <c r="D82" s="3" t="n"/>
      <c r="E82" s="3" t="n"/>
      <c r="F82" s="2">
        <f>VLOOKUP($A82,Fixture!$A:$F,5,0)</f>
        <v/>
      </c>
      <c r="G82" s="2">
        <f>VLOOKUP($A82,Fixture!$A:$F,6,0)</f>
        <v/>
      </c>
    </row>
    <row r="83" ht="15" customHeight="1">
      <c r="A83" s="2" t="n">
        <v>82</v>
      </c>
      <c r="B83" s="3" t="n"/>
      <c r="C83" s="3" t="n"/>
      <c r="D83" s="3" t="n"/>
      <c r="E83" s="3" t="n"/>
      <c r="F83" s="2">
        <f>VLOOKUP($A83,Fixture!$A:$F,5,0)</f>
        <v/>
      </c>
      <c r="G83" s="2">
        <f>VLOOKUP($A83,Fixture!$A:$F,6,0)</f>
        <v/>
      </c>
    </row>
    <row r="84" ht="15" customHeight="1">
      <c r="A84" s="2" t="n">
        <v>83</v>
      </c>
      <c r="B84" s="3" t="n"/>
      <c r="C84" s="3" t="n"/>
      <c r="D84" s="3" t="n"/>
      <c r="E84" s="3" t="n"/>
      <c r="F84" s="2">
        <f>VLOOKUP($A84,Fixture!$A:$F,5,0)</f>
        <v/>
      </c>
      <c r="G84" s="2">
        <f>VLOOKUP($A84,Fixture!$A:$F,6,0)</f>
        <v/>
      </c>
    </row>
    <row r="85" ht="15" customHeight="1">
      <c r="A85" s="2" t="n">
        <v>84</v>
      </c>
      <c r="B85" s="3" t="n"/>
      <c r="C85" s="3" t="n"/>
      <c r="D85" s="3" t="n"/>
      <c r="E85" s="3" t="n"/>
      <c r="F85" s="2">
        <f>VLOOKUP($A85,Fixture!$A:$F,5,0)</f>
        <v/>
      </c>
      <c r="G85" s="2">
        <f>VLOOKUP($A85,Fixture!$A:$F,6,0)</f>
        <v/>
      </c>
    </row>
    <row r="86" ht="15" customHeight="1">
      <c r="A86" s="2" t="n">
        <v>85</v>
      </c>
      <c r="B86" s="3" t="n"/>
      <c r="C86" s="3" t="n"/>
      <c r="D86" s="3" t="n"/>
      <c r="E86" s="3" t="n"/>
      <c r="F86" s="2">
        <f>VLOOKUP($A86,Fixture!$A:$F,5,0)</f>
        <v/>
      </c>
      <c r="G86" s="2">
        <f>VLOOKUP($A86,Fixture!$A:$F,6,0)</f>
        <v/>
      </c>
    </row>
    <row r="87" ht="15" customHeight="1">
      <c r="A87" s="2" t="n">
        <v>86</v>
      </c>
      <c r="B87" s="3" t="n"/>
      <c r="C87" s="3" t="n"/>
      <c r="D87" s="3" t="n"/>
      <c r="E87" s="3" t="n"/>
      <c r="F87" s="2">
        <f>VLOOKUP($A87,Fixture!$A:$F,5,0)</f>
        <v/>
      </c>
      <c r="G87" s="2">
        <f>VLOOKUP($A87,Fixture!$A:$F,6,0)</f>
        <v/>
      </c>
    </row>
    <row r="88" ht="15" customHeight="1">
      <c r="A88" s="2" t="n">
        <v>87</v>
      </c>
      <c r="B88" s="3" t="n"/>
      <c r="C88" s="3" t="n"/>
      <c r="D88" s="3" t="n"/>
      <c r="E88" s="3" t="n"/>
      <c r="F88" s="2">
        <f>VLOOKUP($A88,Fixture!$A:$F,5,0)</f>
        <v/>
      </c>
      <c r="G88" s="2">
        <f>VLOOKUP($A88,Fixture!$A:$F,6,0)</f>
        <v/>
      </c>
    </row>
    <row r="89" ht="15" customHeight="1">
      <c r="A89" s="2" t="n">
        <v>88</v>
      </c>
      <c r="B89" s="3" t="n"/>
      <c r="C89" s="3" t="n"/>
      <c r="D89" s="3" t="n"/>
      <c r="E89" s="3" t="n"/>
      <c r="F89" s="2">
        <f>VLOOKUP($A89,Fixture!$A:$F,5,0)</f>
        <v/>
      </c>
      <c r="G89" s="2">
        <f>VLOOKUP($A89,Fixture!$A:$F,6,0)</f>
        <v/>
      </c>
    </row>
    <row r="90" ht="15" customHeight="1">
      <c r="A90" s="2" t="n">
        <v>89</v>
      </c>
      <c r="B90" s="3" t="n"/>
      <c r="C90" s="3" t="n"/>
      <c r="D90" s="3" t="n"/>
      <c r="E90" s="3" t="n"/>
      <c r="F90" s="2">
        <f>VLOOKUP($A90,Fixture!$A:$F,5,0)</f>
        <v/>
      </c>
      <c r="G90" s="2">
        <f>VLOOKUP($A90,Fixture!$A:$F,6,0)</f>
        <v/>
      </c>
    </row>
    <row r="91" ht="15" customHeight="1">
      <c r="A91" s="2" t="n">
        <v>90</v>
      </c>
      <c r="B91" s="3" t="n"/>
      <c r="C91" s="3" t="n"/>
      <c r="D91" s="3" t="n"/>
      <c r="E91" s="3" t="n"/>
      <c r="F91" s="2">
        <f>VLOOKUP($A91,Fixture!$A:$F,5,0)</f>
        <v/>
      </c>
      <c r="G91" s="2">
        <f>VLOOKUP($A91,Fixture!$A:$F,6,0)</f>
        <v/>
      </c>
    </row>
    <row r="92" ht="15" customHeight="1">
      <c r="A92" s="2" t="n">
        <v>91</v>
      </c>
      <c r="B92" s="3" t="n"/>
      <c r="C92" s="3" t="n"/>
      <c r="D92" s="3" t="n"/>
      <c r="E92" s="3" t="n"/>
      <c r="F92" s="2">
        <f>VLOOKUP($A92,Fixture!$A:$F,5,0)</f>
        <v/>
      </c>
      <c r="G92" s="2">
        <f>VLOOKUP($A92,Fixture!$A:$F,6,0)</f>
        <v/>
      </c>
    </row>
    <row r="93" ht="15" customHeight="1">
      <c r="A93" s="2" t="n">
        <v>92</v>
      </c>
      <c r="B93" s="3" t="n"/>
      <c r="C93" s="3" t="n"/>
      <c r="D93" s="3" t="n"/>
      <c r="E93" s="3" t="n"/>
      <c r="F93" s="2">
        <f>VLOOKUP($A93,Fixture!$A:$F,5,0)</f>
        <v/>
      </c>
      <c r="G93" s="2">
        <f>VLOOKUP($A93,Fixture!$A:$F,6,0)</f>
        <v/>
      </c>
    </row>
    <row r="94" ht="15" customHeight="1">
      <c r="A94" s="2" t="n">
        <v>93</v>
      </c>
      <c r="B94" s="3" t="n"/>
      <c r="C94" s="3" t="n"/>
      <c r="D94" s="3" t="n"/>
      <c r="E94" s="3" t="n"/>
      <c r="F94" s="2">
        <f>VLOOKUP($A94,Fixture!$A:$F,5,0)</f>
        <v/>
      </c>
      <c r="G94" s="2">
        <f>VLOOKUP($A94,Fixture!$A:$F,6,0)</f>
        <v/>
      </c>
    </row>
    <row r="95" ht="15" customHeight="1">
      <c r="A95" s="2" t="n">
        <v>94</v>
      </c>
      <c r="B95" s="3" t="n"/>
      <c r="C95" s="3" t="n"/>
      <c r="D95" s="3" t="n"/>
      <c r="E95" s="3" t="n"/>
      <c r="F95" s="2">
        <f>VLOOKUP($A95,Fixture!$A:$F,5,0)</f>
        <v/>
      </c>
      <c r="G95" s="2">
        <f>VLOOKUP($A95,Fixture!$A:$F,6,0)</f>
        <v/>
      </c>
    </row>
    <row r="96" ht="15" customHeight="1">
      <c r="A96" s="2" t="n">
        <v>95</v>
      </c>
      <c r="B96" s="3" t="n"/>
      <c r="C96" s="3" t="n"/>
      <c r="D96" s="3" t="n"/>
      <c r="E96" s="3" t="n"/>
      <c r="F96" s="2">
        <f>VLOOKUP($A96,Fixture!$A:$F,5,0)</f>
        <v/>
      </c>
      <c r="G96" s="2">
        <f>VLOOKUP($A96,Fixture!$A:$F,6,0)</f>
        <v/>
      </c>
    </row>
    <row r="97" ht="15" customHeight="1">
      <c r="A97" s="2" t="n">
        <v>96</v>
      </c>
      <c r="B97" s="3" t="n"/>
      <c r="C97" s="3" t="n"/>
      <c r="D97" s="3" t="n"/>
      <c r="E97" s="3" t="n"/>
      <c r="F97" s="2">
        <f>VLOOKUP($A97,Fixture!$A:$F,5,0)</f>
        <v/>
      </c>
      <c r="G97" s="2">
        <f>VLOOKUP($A97,Fixture!$A:$F,6,0)</f>
        <v/>
      </c>
    </row>
    <row r="98" ht="15" customHeight="1">
      <c r="A98" s="2" t="n">
        <v>97</v>
      </c>
      <c r="B98" s="3" t="n"/>
      <c r="C98" s="3" t="n"/>
      <c r="D98" s="3" t="n"/>
      <c r="E98" s="3" t="n"/>
      <c r="F98" s="2">
        <f>VLOOKUP($A98,Fixture!$A:$F,5,0)</f>
        <v/>
      </c>
      <c r="G98" s="2">
        <f>VLOOKUP($A98,Fixture!$A:$F,6,0)</f>
        <v/>
      </c>
    </row>
    <row r="99" ht="15" customHeight="1">
      <c r="A99" s="2" t="n">
        <v>98</v>
      </c>
      <c r="B99" s="3" t="n"/>
      <c r="C99" s="3" t="n"/>
      <c r="D99" s="3" t="n"/>
      <c r="E99" s="3" t="n"/>
      <c r="F99" s="2">
        <f>VLOOKUP($A99,Fixture!$A:$F,5,0)</f>
        <v/>
      </c>
      <c r="G99" s="2">
        <f>VLOOKUP($A99,Fixture!$A:$F,6,0)</f>
        <v/>
      </c>
    </row>
    <row r="100" ht="15" customHeight="1">
      <c r="A100" s="2" t="n">
        <v>99</v>
      </c>
      <c r="B100" s="3" t="n"/>
      <c r="C100" s="3" t="n"/>
      <c r="D100" s="3" t="n"/>
      <c r="E100" s="3" t="n"/>
      <c r="F100" s="2">
        <f>VLOOKUP($A100,Fixture!$A:$F,5,0)</f>
        <v/>
      </c>
      <c r="G100" s="2">
        <f>VLOOKUP($A100,Fixture!$A:$F,6,0)</f>
        <v/>
      </c>
    </row>
    <row r="101" ht="15" customHeight="1">
      <c r="A101" s="2" t="n">
        <v>100</v>
      </c>
      <c r="B101" s="3" t="n"/>
      <c r="C101" s="3" t="n"/>
      <c r="D101" s="3" t="n"/>
      <c r="E101" s="3" t="n"/>
      <c r="F101" s="2">
        <f>VLOOKUP($A101,Fixture!$A:$F,5,0)</f>
        <v/>
      </c>
      <c r="G101" s="2">
        <f>VLOOKUP($A101,Fixture!$A:$F,6,0)</f>
        <v/>
      </c>
    </row>
    <row r="102" ht="15" customHeight="1">
      <c r="A102" s="2" t="n">
        <v>101</v>
      </c>
      <c r="B102" s="3" t="n"/>
      <c r="C102" s="3" t="n"/>
      <c r="D102" s="3" t="n"/>
      <c r="E102" s="3" t="n"/>
      <c r="F102" s="2">
        <f>VLOOKUP($A102,Fixture!$A:$F,5,0)</f>
        <v/>
      </c>
      <c r="G102" s="2">
        <f>VLOOKUP($A102,Fixture!$A:$F,6,0)</f>
        <v/>
      </c>
    </row>
    <row r="103" ht="15" customHeight="1">
      <c r="A103" s="2" t="n">
        <v>102</v>
      </c>
      <c r="B103" s="3" t="n"/>
      <c r="C103" s="3" t="n"/>
      <c r="D103" s="3" t="n"/>
      <c r="E103" s="3" t="n"/>
      <c r="F103" s="2">
        <f>VLOOKUP($A103,Fixture!$A:$F,5,0)</f>
        <v/>
      </c>
      <c r="G103" s="2">
        <f>VLOOKUP($A103,Fixture!$A:$F,6,0)</f>
        <v/>
      </c>
    </row>
    <row r="104" ht="15" customHeight="1">
      <c r="A104" s="2" t="n">
        <v>103</v>
      </c>
      <c r="B104" s="3" t="n"/>
      <c r="C104" s="3" t="n"/>
      <c r="D104" s="3" t="n"/>
      <c r="E104" s="3" t="n"/>
      <c r="F104" s="2">
        <f>VLOOKUP($A104,Fixture!$A:$F,5,0)</f>
        <v/>
      </c>
      <c r="G104" s="2">
        <f>VLOOKUP($A104,Fixture!$A:$F,6,0)</f>
        <v/>
      </c>
    </row>
    <row r="105" ht="15" customHeight="1">
      <c r="A105" s="2" t="n">
        <v>104</v>
      </c>
      <c r="B105" s="3" t="n"/>
      <c r="C105" s="3" t="n"/>
      <c r="D105" s="3" t="n"/>
      <c r="E105" s="3" t="n"/>
      <c r="F105" s="2">
        <f>VLOOKUP($A105,Fixture!$A:$F,5,0)</f>
        <v/>
      </c>
      <c r="G105" s="2">
        <f>VLOOKUP($A105,Fixture!$A:$F,6,0)</f>
        <v/>
      </c>
    </row>
    <row r="107" ht="15" customHeight="1">
      <c r="A107" s="4" t="inlineStr">
        <is>
          <t>Única hoja de entrada manual. Goles_A/B: marcador final incl. alargue, SIN penales. Definido_Por: 90/ET/PEN. Si PEN, registrar Ganador_Penales con el nombre canónico.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O50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4.25"/>
  <cols>
    <col width="20" customWidth="1" min="1" max="1"/>
    <col width="14" customWidth="1" min="2" max="2"/>
    <col width="11" customWidth="1" min="3" max="4"/>
    <col width="5" customWidth="1" min="5" max="5"/>
    <col width="7" customWidth="1" min="6" max="7"/>
    <col width="12" customWidth="1" min="8" max="8"/>
    <col width="20" customWidth="1" min="10" max="10"/>
    <col width="22" customWidth="1" min="11" max="12"/>
    <col width="26" customWidth="1" min="14" max="14"/>
    <col width="14" customWidth="1" min="15" max="15"/>
  </cols>
  <sheetData>
    <row r="1" ht="15" customHeight="1">
      <c r="A1" s="1" t="inlineStr">
        <is>
          <t>Equipo</t>
        </is>
      </c>
      <c r="B1" s="1" t="inlineStr">
        <is>
          <t>Confederacion</t>
        </is>
      </c>
      <c r="C1" s="1" t="inlineStr">
        <is>
          <t>Elo_Inicial</t>
        </is>
      </c>
      <c r="D1" s="1" t="inlineStr">
        <is>
          <t>Elo_Actual</t>
        </is>
      </c>
      <c r="E1" s="1" t="inlineStr">
        <is>
          <t>PJ</t>
        </is>
      </c>
      <c r="F1" s="1" t="inlineStr">
        <is>
          <t>Att</t>
        </is>
      </c>
      <c r="G1" s="1" t="inlineStr">
        <is>
          <t>Def</t>
        </is>
      </c>
      <c r="H1" s="1" t="inlineStr">
        <is>
          <t>Lambda_Base</t>
        </is>
      </c>
      <c r="J1" s="5" t="inlineStr">
        <is>
          <t>EQUIVALENCIAS DE NOMBRES</t>
        </is>
      </c>
      <c r="N1" s="5" t="inlineStr">
        <is>
          <t>PARÁMETROS DEL MODELO</t>
        </is>
      </c>
    </row>
    <row r="2" ht="15" customHeight="1">
      <c r="A2" s="2" t="inlineStr">
        <is>
          <t>España</t>
        </is>
      </c>
      <c r="B2" s="2" t="inlineStr">
        <is>
          <t>UEFA</t>
        </is>
      </c>
      <c r="C2" s="6" t="n">
        <v>2210.7</v>
      </c>
      <c r="D2" s="6">
        <f>INDEX(Modelo!$AE$106:$BZ$106,MATCH($A2,Modelo!$AE$1:$BZ$1,0))</f>
        <v/>
      </c>
      <c r="E2" s="2">
        <f>SUMPRODUCT((Modelo!$D$3:$D$106=$A2)*Modelo!$H$3:$H$106)+SUMPRODUCT((Modelo!$E$3:$E$106=$A2)*Modelo!$H$3:$H$106)</f>
        <v/>
      </c>
      <c r="F2" s="2" t="n">
        <v>1.3</v>
      </c>
      <c r="G2" s="2" t="n">
        <v>1.174</v>
      </c>
      <c r="H2" s="2" t="n">
        <v>1.806</v>
      </c>
      <c r="J2" s="1" t="inlineStr">
        <is>
          <t>Canonico</t>
        </is>
      </c>
      <c r="K2" s="1" t="inlineStr">
        <is>
          <t>results.csv</t>
        </is>
      </c>
      <c r="L2" s="1" t="inlineStr">
        <is>
          <t>worldcup.json</t>
        </is>
      </c>
      <c r="N2" s="7" t="inlineStr">
        <is>
          <t>mu (goles/partido)</t>
        </is>
      </c>
      <c r="O2" s="8" t="n">
        <v>2.7779</v>
      </c>
    </row>
    <row r="3" ht="15" customHeight="1">
      <c r="A3" s="2" t="inlineStr">
        <is>
          <t>Argentina</t>
        </is>
      </c>
      <c r="B3" s="2" t="inlineStr">
        <is>
          <t>CONMEBOL</t>
        </is>
      </c>
      <c r="C3" s="6" t="n">
        <v>2188.7</v>
      </c>
      <c r="D3" s="6">
        <f>INDEX(Modelo!$AE$106:$BZ$106,MATCH($A3,Modelo!$AE$1:$BZ$1,0))</f>
        <v/>
      </c>
      <c r="E3" s="2">
        <f>SUMPRODUCT((Modelo!$D$3:$D$106=$A3)*Modelo!$H$3:$H$106)+SUMPRODUCT((Modelo!$E$3:$E$106=$A3)*Modelo!$H$3:$H$106)</f>
        <v/>
      </c>
      <c r="F3" s="2" t="n">
        <v>0.75</v>
      </c>
      <c r="G3" s="2" t="n">
        <v>0.75</v>
      </c>
      <c r="H3" s="2" t="n">
        <v>1.042</v>
      </c>
      <c r="J3" s="2" t="inlineStr">
        <is>
          <t>España</t>
        </is>
      </c>
      <c r="K3" s="2" t="inlineStr">
        <is>
          <t>Spain</t>
        </is>
      </c>
      <c r="L3" s="2" t="inlineStr">
        <is>
          <t>Spain</t>
        </is>
      </c>
      <c r="N3" s="7" t="inlineStr">
        <is>
          <t>beta (goles por punto Elo)</t>
        </is>
      </c>
      <c r="O3" s="8" t="n">
        <v>0.005078</v>
      </c>
    </row>
    <row r="4" ht="15" customHeight="1">
      <c r="A4" s="2" t="inlineStr">
        <is>
          <t>Francia</t>
        </is>
      </c>
      <c r="B4" s="2" t="inlineStr">
        <is>
          <t>UEFA</t>
        </is>
      </c>
      <c r="C4" s="6" t="n">
        <v>2121.7</v>
      </c>
      <c r="D4" s="6">
        <f>INDEX(Modelo!$AE$106:$BZ$106,MATCH($A4,Modelo!$AE$1:$BZ$1,0))</f>
        <v/>
      </c>
      <c r="E4" s="2">
        <f>SUMPRODUCT((Modelo!$D$3:$D$106=$A4)*Modelo!$H$3:$H$106)+SUMPRODUCT((Modelo!$E$3:$E$106=$A4)*Modelo!$H$3:$H$106)</f>
        <v/>
      </c>
      <c r="F4" s="2" t="n">
        <v>1.022</v>
      </c>
      <c r="G4" s="2" t="n">
        <v>1.059</v>
      </c>
      <c r="H4" s="2" t="n">
        <v>1.42</v>
      </c>
      <c r="J4" s="2" t="inlineStr">
        <is>
          <t>Argentina</t>
        </is>
      </c>
      <c r="K4" s="2" t="inlineStr">
        <is>
          <t>Argentina</t>
        </is>
      </c>
      <c r="L4" s="2" t="inlineStr">
        <is>
          <t>Argentina</t>
        </is>
      </c>
      <c r="N4" s="7" t="inlineStr">
        <is>
          <t>K Mundial</t>
        </is>
      </c>
      <c r="O4" s="8" t="n">
        <v>60</v>
      </c>
    </row>
    <row r="5" ht="15" customHeight="1">
      <c r="A5" s="2" t="inlineStr">
        <is>
          <t>Inglaterra</t>
        </is>
      </c>
      <c r="B5" s="2" t="inlineStr">
        <is>
          <t>UEFA</t>
        </is>
      </c>
      <c r="C5" s="6" t="n">
        <v>2087</v>
      </c>
      <c r="D5" s="6">
        <f>INDEX(Modelo!$AE$106:$BZ$106,MATCH($A5,Modelo!$AE$1:$BZ$1,0))</f>
        <v/>
      </c>
      <c r="E5" s="2">
        <f>SUMPRODUCT((Modelo!$D$3:$D$106=$A5)*Modelo!$H$3:$H$106)+SUMPRODUCT((Modelo!$E$3:$E$106=$A5)*Modelo!$H$3:$H$106)</f>
        <v/>
      </c>
      <c r="F5" s="2" t="n">
        <v>0.953</v>
      </c>
      <c r="G5" s="2" t="n">
        <v>0.8149999999999999</v>
      </c>
      <c r="H5" s="2" t="n">
        <v>1.324</v>
      </c>
      <c r="J5" s="2" t="inlineStr">
        <is>
          <t>Francia</t>
        </is>
      </c>
      <c r="K5" s="2" t="inlineStr">
        <is>
          <t>France</t>
        </is>
      </c>
      <c r="L5" s="2" t="inlineStr">
        <is>
          <t>France</t>
        </is>
      </c>
      <c r="N5" s="7" t="inlineStr">
        <is>
          <t>Fecha de cálculo</t>
        </is>
      </c>
      <c r="O5" s="8" t="inlineStr">
        <is>
          <t>2026-06-12</t>
        </is>
      </c>
    </row>
    <row r="6" ht="15" customHeight="1">
      <c r="A6" s="2" t="inlineStr">
        <is>
          <t>Brasil</t>
        </is>
      </c>
      <c r="B6" s="2" t="inlineStr">
        <is>
          <t>CONMEBOL</t>
        </is>
      </c>
      <c r="C6" s="6" t="n">
        <v>2067.6</v>
      </c>
      <c r="D6" s="6">
        <f>INDEX(Modelo!$AE$106:$BZ$106,MATCH($A6,Modelo!$AE$1:$BZ$1,0))</f>
        <v/>
      </c>
      <c r="E6" s="2">
        <f>SUMPRODUCT((Modelo!$D$3:$D$106=$A6)*Modelo!$H$3:$H$106)+SUMPRODUCT((Modelo!$E$3:$E$106=$A6)*Modelo!$H$3:$H$106)</f>
        <v/>
      </c>
      <c r="F6" s="2" t="n">
        <v>0.987</v>
      </c>
      <c r="G6" s="2" t="n">
        <v>1.002</v>
      </c>
      <c r="H6" s="2" t="n">
        <v>1.371</v>
      </c>
      <c r="J6" s="2" t="inlineStr">
        <is>
          <t>Inglaterra</t>
        </is>
      </c>
      <c r="K6" s="2" t="inlineStr">
        <is>
          <t>England</t>
        </is>
      </c>
      <c r="L6" s="2" t="inlineStr">
        <is>
          <t>England</t>
        </is>
      </c>
      <c r="N6" s="7" t="inlineStr">
        <is>
          <t>Ventana calibración</t>
        </is>
      </c>
      <c r="O6" s="8" t="inlineStr">
        <is>
          <t>2018-01-01 a 2026-06-10</t>
        </is>
      </c>
    </row>
    <row r="7" ht="15" customHeight="1">
      <c r="A7" s="2" t="inlineStr">
        <is>
          <t>Colombia</t>
        </is>
      </c>
      <c r="B7" s="2" t="inlineStr">
        <is>
          <t>CONMEBOL</t>
        </is>
      </c>
      <c r="C7" s="6" t="n">
        <v>2062.8</v>
      </c>
      <c r="D7" s="6">
        <f>INDEX(Modelo!$AE$106:$BZ$106,MATCH($A7,Modelo!$AE$1:$BZ$1,0))</f>
        <v/>
      </c>
      <c r="E7" s="2">
        <f>SUMPRODUCT((Modelo!$D$3:$D$106=$A7)*Modelo!$H$3:$H$106)+SUMPRODUCT((Modelo!$E$3:$E$106=$A7)*Modelo!$H$3:$H$106)</f>
        <v/>
      </c>
      <c r="F7" s="2" t="n">
        <v>1.023</v>
      </c>
      <c r="G7" s="2" t="n">
        <v>0.91</v>
      </c>
      <c r="H7" s="2" t="n">
        <v>1.42</v>
      </c>
      <c r="J7" s="2" t="inlineStr">
        <is>
          <t>Brasil</t>
        </is>
      </c>
      <c r="K7" s="2" t="inlineStr">
        <is>
          <t>Brazil</t>
        </is>
      </c>
      <c r="L7" s="2" t="inlineStr">
        <is>
          <t>Brazil</t>
        </is>
      </c>
    </row>
    <row r="8" ht="15" customHeight="1">
      <c r="A8" s="2" t="inlineStr">
        <is>
          <t>Portugal</t>
        </is>
      </c>
      <c r="B8" s="2" t="inlineStr">
        <is>
          <t>UEFA</t>
        </is>
      </c>
      <c r="C8" s="6" t="n">
        <v>2031.3</v>
      </c>
      <c r="D8" s="6">
        <f>INDEX(Modelo!$AE$106:$BZ$106,MATCH($A8,Modelo!$AE$1:$BZ$1,0))</f>
        <v/>
      </c>
      <c r="E8" s="2">
        <f>SUMPRODUCT((Modelo!$D$3:$D$106=$A8)*Modelo!$H$3:$H$106)+SUMPRODUCT((Modelo!$E$3:$E$106=$A8)*Modelo!$H$3:$H$106)</f>
        <v/>
      </c>
      <c r="F8" s="2" t="n">
        <v>1.007</v>
      </c>
      <c r="G8" s="2" t="n">
        <v>1.076</v>
      </c>
      <c r="H8" s="2" t="n">
        <v>1.399</v>
      </c>
      <c r="J8" s="2" t="inlineStr">
        <is>
          <t>Colombia</t>
        </is>
      </c>
      <c r="K8" s="2" t="inlineStr">
        <is>
          <t>Colombia</t>
        </is>
      </c>
      <c r="L8" s="2" t="inlineStr">
        <is>
          <t>Colombia</t>
        </is>
      </c>
      <c r="N8" s="4" t="inlineStr">
        <is>
          <t>Elo_Inicial, Att, Def y Lambda_Base calculados el 2026-06-12 por modelo/elo_historico.py y modelo/calibrar.py (results.csv 1872→2026-06-10). Única excepción a la regla de no pegar valores (§4). Fuente Elo: calculado propio (decisión del usuario 2026-06-12; xlsx aportado quedó de respaldo en Data/).</t>
        </is>
      </c>
    </row>
    <row r="9" ht="15" customHeight="1">
      <c r="A9" s="2" t="inlineStr">
        <is>
          <t>Ecuador</t>
        </is>
      </c>
      <c r="B9" s="2" t="inlineStr">
        <is>
          <t>CONMEBOL</t>
        </is>
      </c>
      <c r="C9" s="6" t="n">
        <v>2026.3</v>
      </c>
      <c r="D9" s="6">
        <f>INDEX(Modelo!$AE$106:$BZ$106,MATCH($A9,Modelo!$AE$1:$BZ$1,0))</f>
        <v/>
      </c>
      <c r="E9" s="2">
        <f>SUMPRODUCT((Modelo!$D$3:$D$106=$A9)*Modelo!$H$3:$H$106)+SUMPRODUCT((Modelo!$E$3:$E$106=$A9)*Modelo!$H$3:$H$106)</f>
        <v/>
      </c>
      <c r="F9" s="2" t="n">
        <v>0.75</v>
      </c>
      <c r="G9" s="2" t="n">
        <v>0.75</v>
      </c>
      <c r="H9" s="2" t="n">
        <v>1.042</v>
      </c>
      <c r="J9" s="2" t="inlineStr">
        <is>
          <t>Portugal</t>
        </is>
      </c>
      <c r="K9" s="2" t="inlineStr">
        <is>
          <t>Portugal</t>
        </is>
      </c>
      <c r="L9" s="2" t="inlineStr">
        <is>
          <t>Portugal</t>
        </is>
      </c>
    </row>
    <row r="10" ht="15" customHeight="1">
      <c r="A10" s="2" t="inlineStr">
        <is>
          <t>Países Bajos</t>
        </is>
      </c>
      <c r="B10" s="2" t="inlineStr">
        <is>
          <t>UEFA</t>
        </is>
      </c>
      <c r="C10" s="6" t="n">
        <v>2012.3</v>
      </c>
      <c r="D10" s="6">
        <f>INDEX(Modelo!$AE$106:$BZ$106,MATCH($A10,Modelo!$AE$1:$BZ$1,0))</f>
        <v/>
      </c>
      <c r="E10" s="2">
        <f>SUMPRODUCT((Modelo!$D$3:$D$106=$A10)*Modelo!$H$3:$H$106)+SUMPRODUCT((Modelo!$E$3:$E$106=$A10)*Modelo!$H$3:$H$106)</f>
        <v/>
      </c>
      <c r="F10" s="2" t="n">
        <v>0.983</v>
      </c>
      <c r="G10" s="2" t="n">
        <v>1.148</v>
      </c>
      <c r="H10" s="2" t="n">
        <v>1.366</v>
      </c>
      <c r="J10" s="2" t="inlineStr">
        <is>
          <t>Ecuador</t>
        </is>
      </c>
      <c r="K10" s="2" t="inlineStr">
        <is>
          <t>Ecuador</t>
        </is>
      </c>
      <c r="L10" s="2" t="inlineStr">
        <is>
          <t>Ecuador</t>
        </is>
      </c>
    </row>
    <row r="11" ht="15" customHeight="1">
      <c r="A11" s="2" t="inlineStr">
        <is>
          <t>Alemania</t>
        </is>
      </c>
      <c r="B11" s="2" t="inlineStr">
        <is>
          <t>UEFA</t>
        </is>
      </c>
      <c r="C11" s="6" t="n">
        <v>2007.2</v>
      </c>
      <c r="D11" s="6">
        <f>INDEX(Modelo!$AE$106:$BZ$106,MATCH($A11,Modelo!$AE$1:$BZ$1,0))</f>
        <v/>
      </c>
      <c r="E11" s="2">
        <f>SUMPRODUCT((Modelo!$D$3:$D$106=$A11)*Modelo!$H$3:$H$106)+SUMPRODUCT((Modelo!$E$3:$E$106=$A11)*Modelo!$H$3:$H$106)</f>
        <v/>
      </c>
      <c r="F11" s="2" t="n">
        <v>1.173</v>
      </c>
      <c r="G11" s="2" t="n">
        <v>1.177</v>
      </c>
      <c r="H11" s="2" t="n">
        <v>1.63</v>
      </c>
      <c r="J11" s="2" t="inlineStr">
        <is>
          <t>Países Bajos</t>
        </is>
      </c>
      <c r="K11" s="2" t="inlineStr">
        <is>
          <t>Netherlands</t>
        </is>
      </c>
      <c r="L11" s="2" t="inlineStr">
        <is>
          <t>Netherlands</t>
        </is>
      </c>
    </row>
    <row r="12" ht="15" customHeight="1">
      <c r="A12" s="2" t="inlineStr">
        <is>
          <t>Japón</t>
        </is>
      </c>
      <c r="B12" s="2" t="inlineStr">
        <is>
          <t>AFC</t>
        </is>
      </c>
      <c r="C12" s="6" t="n">
        <v>1992.7</v>
      </c>
      <c r="D12" s="6">
        <f>INDEX(Modelo!$AE$106:$BZ$106,MATCH($A12,Modelo!$AE$1:$BZ$1,0))</f>
        <v/>
      </c>
      <c r="E12" s="2">
        <f>SUMPRODUCT((Modelo!$D$3:$D$106=$A12)*Modelo!$H$3:$H$106)+SUMPRODUCT((Modelo!$E$3:$E$106=$A12)*Modelo!$H$3:$H$106)</f>
        <v/>
      </c>
      <c r="F12" s="2" t="n">
        <v>1.093</v>
      </c>
      <c r="G12" s="2" t="n">
        <v>0.774</v>
      </c>
      <c r="H12" s="2" t="n">
        <v>1.518</v>
      </c>
      <c r="J12" s="2" t="inlineStr">
        <is>
          <t>Alemania</t>
        </is>
      </c>
      <c r="K12" s="2" t="inlineStr">
        <is>
          <t>Germany</t>
        </is>
      </c>
      <c r="L12" s="2" t="inlineStr">
        <is>
          <t>Germany</t>
        </is>
      </c>
    </row>
    <row r="13" ht="15" customHeight="1">
      <c r="A13" s="2" t="inlineStr">
        <is>
          <t>Marruecos</t>
        </is>
      </c>
      <c r="B13" s="2" t="inlineStr">
        <is>
          <t>CAF</t>
        </is>
      </c>
      <c r="C13" s="6" t="n">
        <v>1984.2</v>
      </c>
      <c r="D13" s="6">
        <f>INDEX(Modelo!$AE$106:$BZ$106,MATCH($A13,Modelo!$AE$1:$BZ$1,0))</f>
        <v/>
      </c>
      <c r="E13" s="2">
        <f>SUMPRODUCT((Modelo!$D$3:$D$106=$A13)*Modelo!$H$3:$H$106)+SUMPRODUCT((Modelo!$E$3:$E$106=$A13)*Modelo!$H$3:$H$106)</f>
        <v/>
      </c>
      <c r="F13" s="2" t="n">
        <v>0.886</v>
      </c>
      <c r="G13" s="2" t="n">
        <v>0.75</v>
      </c>
      <c r="H13" s="2" t="n">
        <v>1.231</v>
      </c>
      <c r="J13" s="2" t="inlineStr">
        <is>
          <t>Japón</t>
        </is>
      </c>
      <c r="K13" s="2" t="inlineStr">
        <is>
          <t>Japan</t>
        </is>
      </c>
      <c r="L13" s="2" t="inlineStr">
        <is>
          <t>Japan</t>
        </is>
      </c>
    </row>
    <row r="14" ht="15" customHeight="1">
      <c r="A14" s="2" t="inlineStr">
        <is>
          <t>México</t>
        </is>
      </c>
      <c r="B14" s="2" t="inlineStr">
        <is>
          <t>CONCACAF</t>
        </is>
      </c>
      <c r="C14" s="6" t="n">
        <v>1976</v>
      </c>
      <c r="D14" s="6">
        <f>INDEX(Modelo!$AE$106:$BZ$106,MATCH($A14,Modelo!$AE$1:$BZ$1,0))</f>
        <v/>
      </c>
      <c r="E14" s="2">
        <f>SUMPRODUCT((Modelo!$D$3:$D$106=$A14)*Modelo!$H$3:$H$106)+SUMPRODUCT((Modelo!$E$3:$E$106=$A14)*Modelo!$H$3:$H$106)</f>
        <v/>
      </c>
      <c r="F14" s="2" t="n">
        <v>0.861</v>
      </c>
      <c r="G14" s="2" t="n">
        <v>0.75</v>
      </c>
      <c r="H14" s="2" t="n">
        <v>1.196</v>
      </c>
      <c r="J14" s="2" t="inlineStr">
        <is>
          <t>Marruecos</t>
        </is>
      </c>
      <c r="K14" s="2" t="inlineStr">
        <is>
          <t>Morocco</t>
        </is>
      </c>
      <c r="L14" s="2" t="inlineStr">
        <is>
          <t>Morocco</t>
        </is>
      </c>
    </row>
    <row r="15" ht="15" customHeight="1">
      <c r="A15" s="2" t="inlineStr">
        <is>
          <t>Uruguay</t>
        </is>
      </c>
      <c r="B15" s="2" t="inlineStr">
        <is>
          <t>CONMEBOL</t>
        </is>
      </c>
      <c r="C15" s="6" t="n">
        <v>1974.1</v>
      </c>
      <c r="D15" s="6">
        <f>INDEX(Modelo!$AE$106:$BZ$106,MATCH($A15,Modelo!$AE$1:$BZ$1,0))</f>
        <v/>
      </c>
      <c r="E15" s="2">
        <f>SUMPRODUCT((Modelo!$D$3:$D$106=$A15)*Modelo!$H$3:$H$106)+SUMPRODUCT((Modelo!$E$3:$E$106=$A15)*Modelo!$H$3:$H$106)</f>
        <v/>
      </c>
      <c r="F15" s="2" t="n">
        <v>0.75</v>
      </c>
      <c r="G15" s="2" t="n">
        <v>0.75</v>
      </c>
      <c r="H15" s="2" t="n">
        <v>1.042</v>
      </c>
      <c r="J15" s="2" t="inlineStr">
        <is>
          <t>México</t>
        </is>
      </c>
      <c r="K15" s="2" t="inlineStr">
        <is>
          <t>Mexico</t>
        </is>
      </c>
      <c r="L15" s="2" t="inlineStr">
        <is>
          <t>Mexico</t>
        </is>
      </c>
    </row>
    <row r="16" ht="15" customHeight="1">
      <c r="A16" s="2" t="inlineStr">
        <is>
          <t>Bélgica</t>
        </is>
      </c>
      <c r="B16" s="2" t="inlineStr">
        <is>
          <t>UEFA</t>
        </is>
      </c>
      <c r="C16" s="6" t="n">
        <v>1971.5</v>
      </c>
      <c r="D16" s="6">
        <f>INDEX(Modelo!$AE$106:$BZ$106,MATCH($A16,Modelo!$AE$1:$BZ$1,0))</f>
        <v/>
      </c>
      <c r="E16" s="2">
        <f>SUMPRODUCT((Modelo!$D$3:$D$106=$A16)*Modelo!$H$3:$H$106)+SUMPRODUCT((Modelo!$E$3:$E$106=$A16)*Modelo!$H$3:$H$106)</f>
        <v/>
      </c>
      <c r="F16" s="2" t="n">
        <v>1.009</v>
      </c>
      <c r="G16" s="2" t="n">
        <v>1.108</v>
      </c>
      <c r="H16" s="2" t="n">
        <v>1.402</v>
      </c>
      <c r="J16" s="2" t="inlineStr">
        <is>
          <t>Uruguay</t>
        </is>
      </c>
      <c r="K16" s="2" t="inlineStr">
        <is>
          <t>Uruguay</t>
        </is>
      </c>
      <c r="L16" s="2" t="inlineStr">
        <is>
          <t>Uruguay</t>
        </is>
      </c>
    </row>
    <row r="17" ht="15" customHeight="1">
      <c r="A17" s="2" t="inlineStr">
        <is>
          <t>Croacia</t>
        </is>
      </c>
      <c r="B17" s="2" t="inlineStr">
        <is>
          <t>UEFA</t>
        </is>
      </c>
      <c r="C17" s="6" t="n">
        <v>1964.1</v>
      </c>
      <c r="D17" s="6">
        <f>INDEX(Modelo!$AE$106:$BZ$106,MATCH($A17,Modelo!$AE$1:$BZ$1,0))</f>
        <v/>
      </c>
      <c r="E17" s="2">
        <f>SUMPRODUCT((Modelo!$D$3:$D$106=$A17)*Modelo!$H$3:$H$106)+SUMPRODUCT((Modelo!$E$3:$E$106=$A17)*Modelo!$H$3:$H$106)</f>
        <v/>
      </c>
      <c r="F17" s="2" t="n">
        <v>0.917</v>
      </c>
      <c r="G17" s="2" t="n">
        <v>1.082</v>
      </c>
      <c r="H17" s="2" t="n">
        <v>1.274</v>
      </c>
      <c r="J17" s="2" t="inlineStr">
        <is>
          <t>Bélgica</t>
        </is>
      </c>
      <c r="K17" s="2" t="inlineStr">
        <is>
          <t>Belgium</t>
        </is>
      </c>
      <c r="L17" s="2" t="inlineStr">
        <is>
          <t>Belgium</t>
        </is>
      </c>
    </row>
    <row r="18" ht="15" customHeight="1">
      <c r="A18" s="2" t="inlineStr">
        <is>
          <t>Turquía</t>
        </is>
      </c>
      <c r="B18" s="2" t="inlineStr">
        <is>
          <t>UEFA</t>
        </is>
      </c>
      <c r="C18" s="6" t="n">
        <v>1962.9</v>
      </c>
      <c r="D18" s="6">
        <f>INDEX(Modelo!$AE$106:$BZ$106,MATCH($A18,Modelo!$AE$1:$BZ$1,0))</f>
        <v/>
      </c>
      <c r="E18" s="2">
        <f>SUMPRODUCT((Modelo!$D$3:$D$106=$A18)*Modelo!$H$3:$H$106)+SUMPRODUCT((Modelo!$E$3:$E$106=$A18)*Modelo!$H$3:$H$106)</f>
        <v/>
      </c>
      <c r="F18" s="2" t="n">
        <v>1.254</v>
      </c>
      <c r="G18" s="2" t="n">
        <v>1.06</v>
      </c>
      <c r="H18" s="2" t="n">
        <v>1.742</v>
      </c>
      <c r="J18" s="2" t="inlineStr">
        <is>
          <t>Croacia</t>
        </is>
      </c>
      <c r="K18" s="2" t="inlineStr">
        <is>
          <t>Croatia</t>
        </is>
      </c>
      <c r="L18" s="2" t="inlineStr">
        <is>
          <t>Croatia</t>
        </is>
      </c>
    </row>
    <row r="19" ht="15" customHeight="1">
      <c r="A19" s="2" t="inlineStr">
        <is>
          <t>Suiza</t>
        </is>
      </c>
      <c r="B19" s="2" t="inlineStr">
        <is>
          <t>UEFA</t>
        </is>
      </c>
      <c r="C19" s="6" t="n">
        <v>1960.6</v>
      </c>
      <c r="D19" s="6">
        <f>INDEX(Modelo!$AE$106:$BZ$106,MATCH($A19,Modelo!$AE$1:$BZ$1,0))</f>
        <v/>
      </c>
      <c r="E19" s="2">
        <f>SUMPRODUCT((Modelo!$D$3:$D$106=$A19)*Modelo!$H$3:$H$106)+SUMPRODUCT((Modelo!$E$3:$E$106=$A19)*Modelo!$H$3:$H$106)</f>
        <v/>
      </c>
      <c r="F19" s="2" t="n">
        <v>1.074</v>
      </c>
      <c r="G19" s="2" t="n">
        <v>0.954</v>
      </c>
      <c r="H19" s="2" t="n">
        <v>1.492</v>
      </c>
      <c r="J19" s="2" t="inlineStr">
        <is>
          <t>Turquía</t>
        </is>
      </c>
      <c r="K19" s="2" t="inlineStr">
        <is>
          <t>Turkey</t>
        </is>
      </c>
      <c r="L19" s="2" t="inlineStr">
        <is>
          <t>Turkey</t>
        </is>
      </c>
    </row>
    <row r="20" ht="15" customHeight="1">
      <c r="A20" s="2" t="inlineStr">
        <is>
          <t>Noruega</t>
        </is>
      </c>
      <c r="B20" s="2" t="inlineStr">
        <is>
          <t>UEFA</t>
        </is>
      </c>
      <c r="C20" s="6" t="n">
        <v>1956.7</v>
      </c>
      <c r="D20" s="6">
        <f>INDEX(Modelo!$AE$106:$BZ$106,MATCH($A20,Modelo!$AE$1:$BZ$1,0))</f>
        <v/>
      </c>
      <c r="E20" s="2">
        <f>SUMPRODUCT((Modelo!$D$3:$D$106=$A20)*Modelo!$H$3:$H$106)+SUMPRODUCT((Modelo!$E$3:$E$106=$A20)*Modelo!$H$3:$H$106)</f>
        <v/>
      </c>
      <c r="F20" s="2" t="n">
        <v>1.3</v>
      </c>
      <c r="G20" s="2" t="n">
        <v>0.821</v>
      </c>
      <c r="H20" s="2" t="n">
        <v>1.806</v>
      </c>
      <c r="J20" s="2" t="inlineStr">
        <is>
          <t>Suiza</t>
        </is>
      </c>
      <c r="K20" s="2" t="inlineStr">
        <is>
          <t>Switzerland</t>
        </is>
      </c>
      <c r="L20" s="2" t="inlineStr">
        <is>
          <t>Switzerland</t>
        </is>
      </c>
    </row>
    <row r="21" ht="15" customHeight="1">
      <c r="A21" s="2" t="inlineStr">
        <is>
          <t>Paraguay</t>
        </is>
      </c>
      <c r="B21" s="2" t="inlineStr">
        <is>
          <t>CONMEBOL</t>
        </is>
      </c>
      <c r="C21" s="6" t="n">
        <v>1917.5</v>
      </c>
      <c r="D21" s="6">
        <f>INDEX(Modelo!$AE$106:$BZ$106,MATCH($A21,Modelo!$AE$1:$BZ$1,0))</f>
        <v/>
      </c>
      <c r="E21" s="2">
        <f>SUMPRODUCT((Modelo!$D$3:$D$106=$A21)*Modelo!$H$3:$H$106)+SUMPRODUCT((Modelo!$E$3:$E$106=$A21)*Modelo!$H$3:$H$106)</f>
        <v/>
      </c>
      <c r="F21" s="2" t="n">
        <v>0.827</v>
      </c>
      <c r="G21" s="2" t="n">
        <v>0.75</v>
      </c>
      <c r="H21" s="2" t="n">
        <v>1.149</v>
      </c>
      <c r="J21" s="2" t="inlineStr">
        <is>
          <t>Noruega</t>
        </is>
      </c>
      <c r="K21" s="2" t="inlineStr">
        <is>
          <t>Norway</t>
        </is>
      </c>
      <c r="L21" s="2" t="inlineStr">
        <is>
          <t>Norway</t>
        </is>
      </c>
    </row>
    <row r="22" ht="15" customHeight="1">
      <c r="A22" s="2" t="inlineStr">
        <is>
          <t>Senegal</t>
        </is>
      </c>
      <c r="B22" s="2" t="inlineStr">
        <is>
          <t>CAF</t>
        </is>
      </c>
      <c r="C22" s="6" t="n">
        <v>1913.5</v>
      </c>
      <c r="D22" s="6">
        <f>INDEX(Modelo!$AE$106:$BZ$106,MATCH($A22,Modelo!$AE$1:$BZ$1,0))</f>
        <v/>
      </c>
      <c r="E22" s="2">
        <f>SUMPRODUCT((Modelo!$D$3:$D$106=$A22)*Modelo!$H$3:$H$106)+SUMPRODUCT((Modelo!$E$3:$E$106=$A22)*Modelo!$H$3:$H$106)</f>
        <v/>
      </c>
      <c r="F22" s="2" t="n">
        <v>0.75</v>
      </c>
      <c r="G22" s="2" t="n">
        <v>0.853</v>
      </c>
      <c r="H22" s="2" t="n">
        <v>1.042</v>
      </c>
      <c r="J22" s="2" t="inlineStr">
        <is>
          <t>Paraguay</t>
        </is>
      </c>
      <c r="K22" s="2" t="inlineStr">
        <is>
          <t>Paraguay</t>
        </is>
      </c>
      <c r="L22" s="2" t="inlineStr">
        <is>
          <t>Paraguay</t>
        </is>
      </c>
    </row>
    <row r="23" ht="15" customHeight="1">
      <c r="A23" s="2" t="inlineStr">
        <is>
          <t>Australia</t>
        </is>
      </c>
      <c r="B23" s="2" t="inlineStr">
        <is>
          <t>AFC</t>
        </is>
      </c>
      <c r="C23" s="6" t="n">
        <v>1901.6</v>
      </c>
      <c r="D23" s="6">
        <f>INDEX(Modelo!$AE$106:$BZ$106,MATCH($A23,Modelo!$AE$1:$BZ$1,0))</f>
        <v/>
      </c>
      <c r="E23" s="2">
        <f>SUMPRODUCT((Modelo!$D$3:$D$106=$A23)*Modelo!$H$3:$H$106)+SUMPRODUCT((Modelo!$E$3:$E$106=$A23)*Modelo!$H$3:$H$106)</f>
        <v/>
      </c>
      <c r="F23" s="2" t="n">
        <v>0.83</v>
      </c>
      <c r="G23" s="2" t="n">
        <v>0.75</v>
      </c>
      <c r="H23" s="2" t="n">
        <v>1.153</v>
      </c>
      <c r="J23" s="2" t="inlineStr">
        <is>
          <t>Senegal</t>
        </is>
      </c>
      <c r="K23" s="2" t="inlineStr">
        <is>
          <t>Senegal</t>
        </is>
      </c>
      <c r="L23" s="2" t="inlineStr">
        <is>
          <t>Senegal</t>
        </is>
      </c>
    </row>
    <row r="24" ht="15" customHeight="1">
      <c r="A24" s="2" t="inlineStr">
        <is>
          <t>Irán</t>
        </is>
      </c>
      <c r="B24" s="2" t="inlineStr">
        <is>
          <t>AFC</t>
        </is>
      </c>
      <c r="C24" s="6" t="n">
        <v>1898.2</v>
      </c>
      <c r="D24" s="6">
        <f>INDEX(Modelo!$AE$106:$BZ$106,MATCH($A24,Modelo!$AE$1:$BZ$1,0))</f>
        <v/>
      </c>
      <c r="E24" s="2">
        <f>SUMPRODUCT((Modelo!$D$3:$D$106=$A24)*Modelo!$H$3:$H$106)+SUMPRODUCT((Modelo!$E$3:$E$106=$A24)*Modelo!$H$3:$H$106)</f>
        <v/>
      </c>
      <c r="F24" s="2" t="n">
        <v>0.919</v>
      </c>
      <c r="G24" s="2" t="n">
        <v>0.956</v>
      </c>
      <c r="H24" s="2" t="n">
        <v>1.276</v>
      </c>
      <c r="J24" s="2" t="inlineStr">
        <is>
          <t>Australia</t>
        </is>
      </c>
      <c r="K24" s="2" t="inlineStr">
        <is>
          <t>Australia</t>
        </is>
      </c>
      <c r="L24" s="2" t="inlineStr">
        <is>
          <t>Australia</t>
        </is>
      </c>
    </row>
    <row r="25" ht="15" customHeight="1">
      <c r="A25" s="2" t="inlineStr">
        <is>
          <t>Austria</t>
        </is>
      </c>
      <c r="B25" s="2" t="inlineStr">
        <is>
          <t>UEFA</t>
        </is>
      </c>
      <c r="C25" s="6" t="n">
        <v>1894.5</v>
      </c>
      <c r="D25" s="6">
        <f>INDEX(Modelo!$AE$106:$BZ$106,MATCH($A25,Modelo!$AE$1:$BZ$1,0))</f>
        <v/>
      </c>
      <c r="E25" s="2">
        <f>SUMPRODUCT((Modelo!$D$3:$D$106=$A25)*Modelo!$H$3:$H$106)+SUMPRODUCT((Modelo!$E$3:$E$106=$A25)*Modelo!$H$3:$H$106)</f>
        <v/>
      </c>
      <c r="F25" s="2" t="n">
        <v>0.99</v>
      </c>
      <c r="G25" s="2" t="n">
        <v>0.905</v>
      </c>
      <c r="H25" s="2" t="n">
        <v>1.375</v>
      </c>
      <c r="J25" s="2" t="inlineStr">
        <is>
          <t>Irán</t>
        </is>
      </c>
      <c r="K25" s="2" t="inlineStr">
        <is>
          <t>Iran</t>
        </is>
      </c>
      <c r="L25" s="2" t="inlineStr">
        <is>
          <t>Iran</t>
        </is>
      </c>
    </row>
    <row r="26" ht="15" customHeight="1">
      <c r="A26" s="2" t="inlineStr">
        <is>
          <t>Canadá</t>
        </is>
      </c>
      <c r="B26" s="2" t="inlineStr">
        <is>
          <t>CONCACAF</t>
        </is>
      </c>
      <c r="C26" s="6" t="n">
        <v>1894.5</v>
      </c>
      <c r="D26" s="6">
        <f>INDEX(Modelo!$AE$106:$BZ$106,MATCH($A26,Modelo!$AE$1:$BZ$1,0))</f>
        <v/>
      </c>
      <c r="E26" s="2">
        <f>SUMPRODUCT((Modelo!$D$3:$D$106=$A26)*Modelo!$H$3:$H$106)+SUMPRODUCT((Modelo!$E$3:$E$106=$A26)*Modelo!$H$3:$H$106)</f>
        <v/>
      </c>
      <c r="F26" s="2" t="n">
        <v>0.92</v>
      </c>
      <c r="G26" s="2" t="n">
        <v>0.75</v>
      </c>
      <c r="H26" s="2" t="n">
        <v>1.278</v>
      </c>
      <c r="J26" s="2" t="inlineStr">
        <is>
          <t>Austria</t>
        </is>
      </c>
      <c r="K26" s="2" t="inlineStr">
        <is>
          <t>Austria</t>
        </is>
      </c>
      <c r="L26" s="2" t="inlineStr">
        <is>
          <t>Austria</t>
        </is>
      </c>
    </row>
    <row r="27" ht="15" customHeight="1">
      <c r="A27" s="2" t="inlineStr">
        <is>
          <t>Argelia</t>
        </is>
      </c>
      <c r="B27" s="2" t="inlineStr">
        <is>
          <t>CAF</t>
        </is>
      </c>
      <c r="C27" s="6" t="n">
        <v>1884</v>
      </c>
      <c r="D27" s="6">
        <f>INDEX(Modelo!$AE$106:$BZ$106,MATCH($A27,Modelo!$AE$1:$BZ$1,0))</f>
        <v/>
      </c>
      <c r="E27" s="2">
        <f>SUMPRODUCT((Modelo!$D$3:$D$106=$A27)*Modelo!$H$3:$H$106)+SUMPRODUCT((Modelo!$E$3:$E$106=$A27)*Modelo!$H$3:$H$106)</f>
        <v/>
      </c>
      <c r="F27" s="2" t="n">
        <v>1.114</v>
      </c>
      <c r="G27" s="2" t="n">
        <v>0.75</v>
      </c>
      <c r="H27" s="2" t="n">
        <v>1.547</v>
      </c>
      <c r="J27" s="2" t="inlineStr">
        <is>
          <t>Canadá</t>
        </is>
      </c>
      <c r="K27" s="2" t="inlineStr">
        <is>
          <t>Canada</t>
        </is>
      </c>
      <c r="L27" s="2" t="inlineStr">
        <is>
          <t>Canada</t>
        </is>
      </c>
    </row>
    <row r="28" ht="15" customHeight="1">
      <c r="A28" s="2" t="inlineStr">
        <is>
          <t>Corea del Sur</t>
        </is>
      </c>
      <c r="B28" s="2" t="inlineStr">
        <is>
          <t>AFC</t>
        </is>
      </c>
      <c r="C28" s="6" t="n">
        <v>1880.6</v>
      </c>
      <c r="D28" s="6">
        <f>INDEX(Modelo!$AE$106:$BZ$106,MATCH($A28,Modelo!$AE$1:$BZ$1,0))</f>
        <v/>
      </c>
      <c r="E28" s="2">
        <f>SUMPRODUCT((Modelo!$D$3:$D$106=$A28)*Modelo!$H$3:$H$106)+SUMPRODUCT((Modelo!$E$3:$E$106=$A28)*Modelo!$H$3:$H$106)</f>
        <v/>
      </c>
      <c r="F28" s="2" t="n">
        <v>0.872</v>
      </c>
      <c r="G28" s="2" t="n">
        <v>1.013</v>
      </c>
      <c r="H28" s="2" t="n">
        <v>1.211</v>
      </c>
      <c r="J28" s="2" t="inlineStr">
        <is>
          <t>Argelia</t>
        </is>
      </c>
      <c r="K28" s="2" t="inlineStr">
        <is>
          <t>Algeria</t>
        </is>
      </c>
      <c r="L28" s="2" t="inlineStr">
        <is>
          <t>Algeria</t>
        </is>
      </c>
    </row>
    <row r="29" ht="15" customHeight="1">
      <c r="A29" s="2" t="inlineStr">
        <is>
          <t>Panamá</t>
        </is>
      </c>
      <c r="B29" s="2" t="inlineStr">
        <is>
          <t>CONCACAF</t>
        </is>
      </c>
      <c r="C29" s="6" t="n">
        <v>1847.7</v>
      </c>
      <c r="D29" s="6">
        <f>INDEX(Modelo!$AE$106:$BZ$106,MATCH($A29,Modelo!$AE$1:$BZ$1,0))</f>
        <v/>
      </c>
      <c r="E29" s="2">
        <f>SUMPRODUCT((Modelo!$D$3:$D$106=$A29)*Modelo!$H$3:$H$106)+SUMPRODUCT((Modelo!$E$3:$E$106=$A29)*Modelo!$H$3:$H$106)</f>
        <v/>
      </c>
      <c r="F29" s="2" t="n">
        <v>0.9419999999999999</v>
      </c>
      <c r="G29" s="2" t="n">
        <v>1.112</v>
      </c>
      <c r="H29" s="2" t="n">
        <v>1.309</v>
      </c>
      <c r="J29" s="2" t="inlineStr">
        <is>
          <t>Corea del Sur</t>
        </is>
      </c>
      <c r="K29" s="2" t="inlineStr">
        <is>
          <t>South Korea</t>
        </is>
      </c>
      <c r="L29" s="2" t="inlineStr">
        <is>
          <t>South Korea</t>
        </is>
      </c>
    </row>
    <row r="30" ht="15" customHeight="1">
      <c r="A30" s="2" t="inlineStr">
        <is>
          <t>Escocia</t>
        </is>
      </c>
      <c r="B30" s="2" t="inlineStr">
        <is>
          <t>UEFA</t>
        </is>
      </c>
      <c r="C30" s="6" t="n">
        <v>1833.6</v>
      </c>
      <c r="D30" s="6">
        <f>INDEX(Modelo!$AE$106:$BZ$106,MATCH($A30,Modelo!$AE$1:$BZ$1,0))</f>
        <v/>
      </c>
      <c r="E30" s="2">
        <f>SUMPRODUCT((Modelo!$D$3:$D$106=$A30)*Modelo!$H$3:$H$106)+SUMPRODUCT((Modelo!$E$3:$E$106=$A30)*Modelo!$H$3:$H$106)</f>
        <v/>
      </c>
      <c r="F30" s="2" t="n">
        <v>1.115</v>
      </c>
      <c r="G30" s="2" t="n">
        <v>0.983</v>
      </c>
      <c r="H30" s="2" t="n">
        <v>1.548</v>
      </c>
      <c r="J30" s="2" t="inlineStr">
        <is>
          <t>Panamá</t>
        </is>
      </c>
      <c r="K30" s="2" t="inlineStr">
        <is>
          <t>Panama</t>
        </is>
      </c>
      <c r="L30" s="2" t="inlineStr">
        <is>
          <t>Panama</t>
        </is>
      </c>
    </row>
    <row r="31" ht="15" customHeight="1">
      <c r="A31" s="2" t="inlineStr">
        <is>
          <t>Estados Unidos</t>
        </is>
      </c>
      <c r="B31" s="2" t="inlineStr">
        <is>
          <t>CONCACAF</t>
        </is>
      </c>
      <c r="C31" s="6" t="n">
        <v>1825.3</v>
      </c>
      <c r="D31" s="6">
        <f>INDEX(Modelo!$AE$106:$BZ$106,MATCH($A31,Modelo!$AE$1:$BZ$1,0))</f>
        <v/>
      </c>
      <c r="E31" s="2">
        <f>SUMPRODUCT((Modelo!$D$3:$D$106=$A31)*Modelo!$H$3:$H$106)+SUMPRODUCT((Modelo!$E$3:$E$106=$A31)*Modelo!$H$3:$H$106)</f>
        <v/>
      </c>
      <c r="F31" s="2" t="n">
        <v>1.007</v>
      </c>
      <c r="G31" s="2" t="n">
        <v>1.094</v>
      </c>
      <c r="H31" s="2" t="n">
        <v>1.399</v>
      </c>
      <c r="J31" s="2" t="inlineStr">
        <is>
          <t>Escocia</t>
        </is>
      </c>
      <c r="K31" s="2" t="inlineStr">
        <is>
          <t>Scotland</t>
        </is>
      </c>
      <c r="L31" s="2" t="inlineStr">
        <is>
          <t>Scotland</t>
        </is>
      </c>
    </row>
    <row r="32" ht="15" customHeight="1">
      <c r="A32" s="2" t="inlineStr">
        <is>
          <t>Uzbekistán</t>
        </is>
      </c>
      <c r="B32" s="2" t="inlineStr">
        <is>
          <t>AFC</t>
        </is>
      </c>
      <c r="C32" s="6" t="n">
        <v>1820.5</v>
      </c>
      <c r="D32" s="6">
        <f>INDEX(Modelo!$AE$106:$BZ$106,MATCH($A32,Modelo!$AE$1:$BZ$1,0))</f>
        <v/>
      </c>
      <c r="E32" s="2">
        <f>SUMPRODUCT((Modelo!$D$3:$D$106=$A32)*Modelo!$H$3:$H$106)+SUMPRODUCT((Modelo!$E$3:$E$106=$A32)*Modelo!$H$3:$H$106)</f>
        <v/>
      </c>
      <c r="F32" s="2" t="n">
        <v>0.879</v>
      </c>
      <c r="G32" s="2" t="n">
        <v>0.75</v>
      </c>
      <c r="H32" s="2" t="n">
        <v>1.22</v>
      </c>
      <c r="J32" s="2" t="inlineStr">
        <is>
          <t>Estados Unidos</t>
        </is>
      </c>
      <c r="K32" s="2" t="inlineStr">
        <is>
          <t>United States</t>
        </is>
      </c>
      <c r="L32" s="2" t="inlineStr">
        <is>
          <t>USA</t>
        </is>
      </c>
    </row>
    <row r="33" ht="15" customHeight="1">
      <c r="A33" s="2" t="inlineStr">
        <is>
          <t>Costa de Marfil</t>
        </is>
      </c>
      <c r="B33" s="2" t="inlineStr">
        <is>
          <t>CAF</t>
        </is>
      </c>
      <c r="C33" s="6" t="n">
        <v>1814.5</v>
      </c>
      <c r="D33" s="6">
        <f>INDEX(Modelo!$AE$106:$BZ$106,MATCH($A33,Modelo!$AE$1:$BZ$1,0))</f>
        <v/>
      </c>
      <c r="E33" s="2">
        <f>SUMPRODUCT((Modelo!$D$3:$D$106=$A33)*Modelo!$H$3:$H$106)+SUMPRODUCT((Modelo!$E$3:$E$106=$A33)*Modelo!$H$3:$H$106)</f>
        <v/>
      </c>
      <c r="F33" s="2" t="n">
        <v>0.877</v>
      </c>
      <c r="G33" s="2" t="n">
        <v>0.75</v>
      </c>
      <c r="H33" s="2" t="n">
        <v>1.218</v>
      </c>
      <c r="J33" s="2" t="inlineStr">
        <is>
          <t>Uzbekistán</t>
        </is>
      </c>
      <c r="K33" s="2" t="inlineStr">
        <is>
          <t>Uzbekistan</t>
        </is>
      </c>
      <c r="L33" s="2" t="inlineStr">
        <is>
          <t>Uzbekistan</t>
        </is>
      </c>
    </row>
    <row r="34" ht="15" customHeight="1">
      <c r="A34" s="2" t="inlineStr">
        <is>
          <t>Egipto</t>
        </is>
      </c>
      <c r="B34" s="2" t="inlineStr">
        <is>
          <t>CAF</t>
        </is>
      </c>
      <c r="C34" s="6" t="n">
        <v>1810</v>
      </c>
      <c r="D34" s="6">
        <f>INDEX(Modelo!$AE$106:$BZ$106,MATCH($A34,Modelo!$AE$1:$BZ$1,0))</f>
        <v/>
      </c>
      <c r="E34" s="2">
        <f>SUMPRODUCT((Modelo!$D$3:$D$106=$A34)*Modelo!$H$3:$H$106)+SUMPRODUCT((Modelo!$E$3:$E$106=$A34)*Modelo!$H$3:$H$106)</f>
        <v/>
      </c>
      <c r="F34" s="2" t="n">
        <v>0.797</v>
      </c>
      <c r="G34" s="2" t="n">
        <v>0.778</v>
      </c>
      <c r="H34" s="2" t="n">
        <v>1.107</v>
      </c>
      <c r="J34" s="2" t="inlineStr">
        <is>
          <t>Costa de Marfil</t>
        </is>
      </c>
      <c r="K34" s="2" t="inlineStr">
        <is>
          <t>Ivory Coast</t>
        </is>
      </c>
      <c r="L34" s="2" t="inlineStr">
        <is>
          <t>Ivory Coast</t>
        </is>
      </c>
    </row>
    <row r="35" ht="15" customHeight="1">
      <c r="A35" s="2" t="inlineStr">
        <is>
          <t>Chequia</t>
        </is>
      </c>
      <c r="B35" s="2" t="inlineStr">
        <is>
          <t>UEFA</t>
        </is>
      </c>
      <c r="C35" s="6" t="n">
        <v>1796.2</v>
      </c>
      <c r="D35" s="6">
        <f>INDEX(Modelo!$AE$106:$BZ$106,MATCH($A35,Modelo!$AE$1:$BZ$1,0))</f>
        <v/>
      </c>
      <c r="E35" s="2">
        <f>SUMPRODUCT((Modelo!$D$3:$D$106=$A35)*Modelo!$H$3:$H$106)+SUMPRODUCT((Modelo!$E$3:$E$106=$A35)*Modelo!$H$3:$H$106)</f>
        <v/>
      </c>
      <c r="F35" s="2" t="n">
        <v>1.033</v>
      </c>
      <c r="G35" s="2" t="n">
        <v>1.121</v>
      </c>
      <c r="H35" s="2" t="n">
        <v>1.435</v>
      </c>
      <c r="J35" s="2" t="inlineStr">
        <is>
          <t>Egipto</t>
        </is>
      </c>
      <c r="K35" s="2" t="inlineStr">
        <is>
          <t>Egypt</t>
        </is>
      </c>
      <c r="L35" s="2" t="inlineStr">
        <is>
          <t>Egypt</t>
        </is>
      </c>
    </row>
    <row r="36" ht="15" customHeight="1">
      <c r="A36" s="2" t="inlineStr">
        <is>
          <t>Jordania</t>
        </is>
      </c>
      <c r="B36" s="2" t="inlineStr">
        <is>
          <t>AFC</t>
        </is>
      </c>
      <c r="C36" s="6" t="n">
        <v>1775.1</v>
      </c>
      <c r="D36" s="6">
        <f>INDEX(Modelo!$AE$106:$BZ$106,MATCH($A36,Modelo!$AE$1:$BZ$1,0))</f>
        <v/>
      </c>
      <c r="E36" s="2">
        <f>SUMPRODUCT((Modelo!$D$3:$D$106=$A36)*Modelo!$H$3:$H$106)+SUMPRODUCT((Modelo!$E$3:$E$106=$A36)*Modelo!$H$3:$H$106)</f>
        <v/>
      </c>
      <c r="F36" s="2" t="n">
        <v>1.057</v>
      </c>
      <c r="G36" s="2" t="n">
        <v>0.967</v>
      </c>
      <c r="H36" s="2" t="n">
        <v>1.469</v>
      </c>
      <c r="J36" s="2" t="inlineStr">
        <is>
          <t>Chequia</t>
        </is>
      </c>
      <c r="K36" s="2" t="inlineStr">
        <is>
          <t>Czech Republic</t>
        </is>
      </c>
      <c r="L36" s="2" t="inlineStr">
        <is>
          <t>Czech Republic</t>
        </is>
      </c>
    </row>
    <row r="37" ht="15" customHeight="1">
      <c r="A37" s="2" t="inlineStr">
        <is>
          <t>Suecia</t>
        </is>
      </c>
      <c r="B37" s="2" t="inlineStr">
        <is>
          <t>UEFA</t>
        </is>
      </c>
      <c r="C37" s="6" t="n">
        <v>1765.2</v>
      </c>
      <c r="D37" s="6">
        <f>INDEX(Modelo!$AE$106:$BZ$106,MATCH($A37,Modelo!$AE$1:$BZ$1,0))</f>
        <v/>
      </c>
      <c r="E37" s="2">
        <f>SUMPRODUCT((Modelo!$D$3:$D$106=$A37)*Modelo!$H$3:$H$106)+SUMPRODUCT((Modelo!$E$3:$E$106=$A37)*Modelo!$H$3:$H$106)</f>
        <v/>
      </c>
      <c r="F37" s="2" t="n">
        <v>1.18</v>
      </c>
      <c r="G37" s="2" t="n">
        <v>1.191</v>
      </c>
      <c r="H37" s="2" t="n">
        <v>1.639</v>
      </c>
      <c r="J37" s="2" t="inlineStr">
        <is>
          <t>Jordania</t>
        </is>
      </c>
      <c r="K37" s="2" t="inlineStr">
        <is>
          <t>Jordan</t>
        </is>
      </c>
      <c r="L37" s="2" t="inlineStr">
        <is>
          <t>Jordan</t>
        </is>
      </c>
    </row>
    <row r="38" ht="15" customHeight="1">
      <c r="A38" s="2" t="inlineStr">
        <is>
          <t>RD Congo</t>
        </is>
      </c>
      <c r="B38" s="2" t="inlineStr">
        <is>
          <t>CAF</t>
        </is>
      </c>
      <c r="C38" s="6" t="n">
        <v>1762.6</v>
      </c>
      <c r="D38" s="6">
        <f>INDEX(Modelo!$AE$106:$BZ$106,MATCH($A38,Modelo!$AE$1:$BZ$1,0))</f>
        <v/>
      </c>
      <c r="E38" s="2">
        <f>SUMPRODUCT((Modelo!$D$3:$D$106=$A38)*Modelo!$H$3:$H$106)+SUMPRODUCT((Modelo!$E$3:$E$106=$A38)*Modelo!$H$3:$H$106)</f>
        <v/>
      </c>
      <c r="F38" s="2" t="n">
        <v>0.797</v>
      </c>
      <c r="G38" s="2" t="n">
        <v>0.75</v>
      </c>
      <c r="H38" s="2" t="n">
        <v>1.108</v>
      </c>
      <c r="J38" s="2" t="inlineStr">
        <is>
          <t>Suecia</t>
        </is>
      </c>
      <c r="K38" s="2" t="inlineStr">
        <is>
          <t>Sweden</t>
        </is>
      </c>
      <c r="L38" s="2" t="inlineStr">
        <is>
          <t>Sweden</t>
        </is>
      </c>
    </row>
    <row r="39" ht="15" customHeight="1">
      <c r="A39" s="2" t="inlineStr">
        <is>
          <t>Túnez</t>
        </is>
      </c>
      <c r="B39" s="2" t="inlineStr">
        <is>
          <t>CAF</t>
        </is>
      </c>
      <c r="C39" s="6" t="n">
        <v>1738</v>
      </c>
      <c r="D39" s="6">
        <f>INDEX(Modelo!$AE$106:$BZ$106,MATCH($A39,Modelo!$AE$1:$BZ$1,0))</f>
        <v/>
      </c>
      <c r="E39" s="2">
        <f>SUMPRODUCT((Modelo!$D$3:$D$106=$A39)*Modelo!$H$3:$H$106)+SUMPRODUCT((Modelo!$E$3:$E$106=$A39)*Modelo!$H$3:$H$106)</f>
        <v/>
      </c>
      <c r="F39" s="2" t="n">
        <v>0.771</v>
      </c>
      <c r="G39" s="2" t="n">
        <v>0.792</v>
      </c>
      <c r="H39" s="2" t="n">
        <v>1.071</v>
      </c>
      <c r="J39" s="2" t="inlineStr">
        <is>
          <t>RD Congo</t>
        </is>
      </c>
      <c r="K39" s="2" t="inlineStr">
        <is>
          <t>DR Congo</t>
        </is>
      </c>
      <c r="L39" s="2" t="inlineStr">
        <is>
          <t>DR Congo</t>
        </is>
      </c>
    </row>
    <row r="40" ht="15" customHeight="1">
      <c r="A40" s="2" t="inlineStr">
        <is>
          <t>Irak</t>
        </is>
      </c>
      <c r="B40" s="2" t="inlineStr">
        <is>
          <t>AFC</t>
        </is>
      </c>
      <c r="C40" s="6" t="n">
        <v>1737.8</v>
      </c>
      <c r="D40" s="6">
        <f>INDEX(Modelo!$AE$106:$BZ$106,MATCH($A40,Modelo!$AE$1:$BZ$1,0))</f>
        <v/>
      </c>
      <c r="E40" s="2">
        <f>SUMPRODUCT((Modelo!$D$3:$D$106=$A40)*Modelo!$H$3:$H$106)+SUMPRODUCT((Modelo!$E$3:$E$106=$A40)*Modelo!$H$3:$H$106)</f>
        <v/>
      </c>
      <c r="F40" s="2" t="n">
        <v>0.751</v>
      </c>
      <c r="G40" s="2" t="n">
        <v>0.832</v>
      </c>
      <c r="H40" s="2" t="n">
        <v>1.043</v>
      </c>
      <c r="J40" s="2" t="inlineStr">
        <is>
          <t>Túnez</t>
        </is>
      </c>
      <c r="K40" s="2" t="inlineStr">
        <is>
          <t>Tunisia</t>
        </is>
      </c>
      <c r="L40" s="2" t="inlineStr">
        <is>
          <t>Tunisia</t>
        </is>
      </c>
    </row>
    <row r="41" ht="15" customHeight="1">
      <c r="A41" s="2" t="inlineStr">
        <is>
          <t>Nueva Zelanda</t>
        </is>
      </c>
      <c r="B41" s="2" t="inlineStr">
        <is>
          <t>OFC</t>
        </is>
      </c>
      <c r="C41" s="6" t="n">
        <v>1731.8</v>
      </c>
      <c r="D41" s="6">
        <f>INDEX(Modelo!$AE$106:$BZ$106,MATCH($A41,Modelo!$AE$1:$BZ$1,0))</f>
        <v/>
      </c>
      <c r="E41" s="2">
        <f>SUMPRODUCT((Modelo!$D$3:$D$106=$A41)*Modelo!$H$3:$H$106)+SUMPRODUCT((Modelo!$E$3:$E$106=$A41)*Modelo!$H$3:$H$106)</f>
        <v/>
      </c>
      <c r="F41" s="2" t="n">
        <v>1.1</v>
      </c>
      <c r="G41" s="2" t="n">
        <v>0.879</v>
      </c>
      <c r="H41" s="2" t="n">
        <v>1.528</v>
      </c>
      <c r="J41" s="2" t="inlineStr">
        <is>
          <t>Irak</t>
        </is>
      </c>
      <c r="K41" s="2" t="inlineStr">
        <is>
          <t>Iraq</t>
        </is>
      </c>
      <c r="L41" s="2" t="inlineStr">
        <is>
          <t>Iraq</t>
        </is>
      </c>
    </row>
    <row r="42" ht="15" customHeight="1">
      <c r="A42" s="2" t="inlineStr">
        <is>
          <t>Haití</t>
        </is>
      </c>
      <c r="B42" s="2" t="inlineStr">
        <is>
          <t>CONCACAF</t>
        </is>
      </c>
      <c r="C42" s="6" t="n">
        <v>1697.4</v>
      </c>
      <c r="D42" s="6">
        <f>INDEX(Modelo!$AE$106:$BZ$106,MATCH($A42,Modelo!$AE$1:$BZ$1,0))</f>
        <v/>
      </c>
      <c r="E42" s="2">
        <f>SUMPRODUCT((Modelo!$D$3:$D$106=$A42)*Modelo!$H$3:$H$106)+SUMPRODUCT((Modelo!$E$3:$E$106=$A42)*Modelo!$H$3:$H$106)</f>
        <v/>
      </c>
      <c r="F42" s="2" t="n">
        <v>1.3</v>
      </c>
      <c r="G42" s="2" t="n">
        <v>0.999</v>
      </c>
      <c r="H42" s="2" t="n">
        <v>1.806</v>
      </c>
      <c r="J42" s="2" t="inlineStr">
        <is>
          <t>Nueva Zelanda</t>
        </is>
      </c>
      <c r="K42" s="2" t="inlineStr">
        <is>
          <t>New Zealand</t>
        </is>
      </c>
      <c r="L42" s="2" t="inlineStr">
        <is>
          <t>New Zealand</t>
        </is>
      </c>
    </row>
    <row r="43" ht="15" customHeight="1">
      <c r="A43" s="2" t="inlineStr">
        <is>
          <t>Arabia Saudita</t>
        </is>
      </c>
      <c r="B43" s="2" t="inlineStr">
        <is>
          <t>AFC</t>
        </is>
      </c>
      <c r="C43" s="6" t="n">
        <v>1691.4</v>
      </c>
      <c r="D43" s="6">
        <f>INDEX(Modelo!$AE$106:$BZ$106,MATCH($A43,Modelo!$AE$1:$BZ$1,0))</f>
        <v/>
      </c>
      <c r="E43" s="2">
        <f>SUMPRODUCT((Modelo!$D$3:$D$106=$A43)*Modelo!$H$3:$H$106)+SUMPRODUCT((Modelo!$E$3:$E$106=$A43)*Modelo!$H$3:$H$106)</f>
        <v/>
      </c>
      <c r="F43" s="2" t="n">
        <v>0.761</v>
      </c>
      <c r="G43" s="2" t="n">
        <v>0.826</v>
      </c>
      <c r="H43" s="2" t="n">
        <v>1.058</v>
      </c>
      <c r="J43" s="2" t="inlineStr">
        <is>
          <t>Haití</t>
        </is>
      </c>
      <c r="K43" s="2" t="inlineStr">
        <is>
          <t>Haiti</t>
        </is>
      </c>
      <c r="L43" s="2" t="inlineStr">
        <is>
          <t>Haiti</t>
        </is>
      </c>
    </row>
    <row r="44" ht="15" customHeight="1">
      <c r="A44" s="2" t="inlineStr">
        <is>
          <t>Sudáfrica</t>
        </is>
      </c>
      <c r="B44" s="2" t="inlineStr">
        <is>
          <t>CAF</t>
        </is>
      </c>
      <c r="C44" s="6" t="n">
        <v>1662.3</v>
      </c>
      <c r="D44" s="6">
        <f>INDEX(Modelo!$AE$106:$BZ$106,MATCH($A44,Modelo!$AE$1:$BZ$1,0))</f>
        <v/>
      </c>
      <c r="E44" s="2">
        <f>SUMPRODUCT((Modelo!$D$3:$D$106=$A44)*Modelo!$H$3:$H$106)+SUMPRODUCT((Modelo!$E$3:$E$106=$A44)*Modelo!$H$3:$H$106)</f>
        <v/>
      </c>
      <c r="F44" s="2" t="n">
        <v>0.854</v>
      </c>
      <c r="G44" s="2" t="n">
        <v>0.754</v>
      </c>
      <c r="H44" s="2" t="n">
        <v>1.186</v>
      </c>
      <c r="J44" s="2" t="inlineStr">
        <is>
          <t>Arabia Saudita</t>
        </is>
      </c>
      <c r="K44" s="2" t="inlineStr">
        <is>
          <t>Saudi Arabia</t>
        </is>
      </c>
      <c r="L44" s="2" t="inlineStr">
        <is>
          <t>Saudi Arabia</t>
        </is>
      </c>
    </row>
    <row r="45" ht="15" customHeight="1">
      <c r="A45" s="2" t="inlineStr">
        <is>
          <t>Cabo Verde</t>
        </is>
      </c>
      <c r="B45" s="2" t="inlineStr">
        <is>
          <t>CAF</t>
        </is>
      </c>
      <c r="C45" s="6" t="n">
        <v>1653.2</v>
      </c>
      <c r="D45" s="6">
        <f>INDEX(Modelo!$AE$106:$BZ$106,MATCH($A45,Modelo!$AE$1:$BZ$1,0))</f>
        <v/>
      </c>
      <c r="E45" s="2">
        <f>SUMPRODUCT((Modelo!$D$3:$D$106=$A45)*Modelo!$H$3:$H$106)+SUMPRODUCT((Modelo!$E$3:$E$106=$A45)*Modelo!$H$3:$H$106)</f>
        <v/>
      </c>
      <c r="F45" s="2" t="n">
        <v>0.86</v>
      </c>
      <c r="G45" s="2" t="n">
        <v>0.861</v>
      </c>
      <c r="H45" s="2" t="n">
        <v>1.195</v>
      </c>
      <c r="J45" s="2" t="inlineStr">
        <is>
          <t>Sudáfrica</t>
        </is>
      </c>
      <c r="K45" s="2" t="inlineStr">
        <is>
          <t>South Africa</t>
        </is>
      </c>
      <c r="L45" s="2" t="inlineStr">
        <is>
          <t>South Africa</t>
        </is>
      </c>
    </row>
    <row r="46" ht="15" customHeight="1">
      <c r="A46" s="2" t="inlineStr">
        <is>
          <t>Bosnia y Herzegovina</t>
        </is>
      </c>
      <c r="B46" s="2" t="inlineStr">
        <is>
          <t>UEFA</t>
        </is>
      </c>
      <c r="C46" s="6" t="n">
        <v>1649.1</v>
      </c>
      <c r="D46" s="6">
        <f>INDEX(Modelo!$AE$106:$BZ$106,MATCH($A46,Modelo!$AE$1:$BZ$1,0))</f>
        <v/>
      </c>
      <c r="E46" s="2">
        <f>SUMPRODUCT((Modelo!$D$3:$D$106=$A46)*Modelo!$H$3:$H$106)+SUMPRODUCT((Modelo!$E$3:$E$106=$A46)*Modelo!$H$3:$H$106)</f>
        <v/>
      </c>
      <c r="F46" s="2" t="n">
        <v>1.054</v>
      </c>
      <c r="G46" s="2" t="n">
        <v>0.784</v>
      </c>
      <c r="H46" s="2" t="n">
        <v>1.464</v>
      </c>
      <c r="J46" s="2" t="inlineStr">
        <is>
          <t>Cabo Verde</t>
        </is>
      </c>
      <c r="K46" s="2" t="inlineStr">
        <is>
          <t>Cape Verde</t>
        </is>
      </c>
      <c r="L46" s="2" t="inlineStr">
        <is>
          <t>Cape Verde</t>
        </is>
      </c>
    </row>
    <row r="47" ht="15" customHeight="1">
      <c r="A47" s="2" t="inlineStr">
        <is>
          <t>Ghana</t>
        </is>
      </c>
      <c r="B47" s="2" t="inlineStr">
        <is>
          <t>CAF</t>
        </is>
      </c>
      <c r="C47" s="6" t="n">
        <v>1624.5</v>
      </c>
      <c r="D47" s="6">
        <f>INDEX(Modelo!$AE$106:$BZ$106,MATCH($A47,Modelo!$AE$1:$BZ$1,0))</f>
        <v/>
      </c>
      <c r="E47" s="2">
        <f>SUMPRODUCT((Modelo!$D$3:$D$106=$A47)*Modelo!$H$3:$H$106)+SUMPRODUCT((Modelo!$E$3:$E$106=$A47)*Modelo!$H$3:$H$106)</f>
        <v/>
      </c>
      <c r="F47" s="2" t="n">
        <v>0.974</v>
      </c>
      <c r="G47" s="2" t="n">
        <v>0.875</v>
      </c>
      <c r="H47" s="2" t="n">
        <v>1.353</v>
      </c>
      <c r="J47" s="2" t="inlineStr">
        <is>
          <t>Bosnia y Herzegovina</t>
        </is>
      </c>
      <c r="K47" s="2" t="inlineStr">
        <is>
          <t>Bosnia and Herzegovina</t>
        </is>
      </c>
      <c r="L47" s="2" t="inlineStr">
        <is>
          <t>Bosnia &amp; Herzegovina</t>
        </is>
      </c>
    </row>
    <row r="48" ht="15" customHeight="1">
      <c r="A48" s="2" t="inlineStr">
        <is>
          <t>Curaçao</t>
        </is>
      </c>
      <c r="B48" s="2" t="inlineStr">
        <is>
          <t>CONCACAF</t>
        </is>
      </c>
      <c r="C48" s="6" t="n">
        <v>1601.1</v>
      </c>
      <c r="D48" s="6">
        <f>INDEX(Modelo!$AE$106:$BZ$106,MATCH($A48,Modelo!$AE$1:$BZ$1,0))</f>
        <v/>
      </c>
      <c r="E48" s="2">
        <f>SUMPRODUCT((Modelo!$D$3:$D$106=$A48)*Modelo!$H$3:$H$106)+SUMPRODUCT((Modelo!$E$3:$E$106=$A48)*Modelo!$H$3:$H$106)</f>
        <v/>
      </c>
      <c r="F48" s="2" t="n">
        <v>1.244</v>
      </c>
      <c r="G48" s="2" t="n">
        <v>0.891</v>
      </c>
      <c r="H48" s="2" t="n">
        <v>1.728</v>
      </c>
      <c r="J48" s="2" t="inlineStr">
        <is>
          <t>Ghana</t>
        </is>
      </c>
      <c r="K48" s="2" t="inlineStr">
        <is>
          <t>Ghana</t>
        </is>
      </c>
      <c r="L48" s="2" t="inlineStr">
        <is>
          <t>Ghana</t>
        </is>
      </c>
    </row>
    <row r="49" ht="15" customHeight="1">
      <c r="A49" s="2" t="inlineStr">
        <is>
          <t>Qatar</t>
        </is>
      </c>
      <c r="B49" s="2" t="inlineStr">
        <is>
          <t>AFC</t>
        </is>
      </c>
      <c r="C49" s="6" t="n">
        <v>1566</v>
      </c>
      <c r="D49" s="6">
        <f>INDEX(Modelo!$AE$106:$BZ$106,MATCH($A49,Modelo!$AE$1:$BZ$1,0))</f>
        <v/>
      </c>
      <c r="E49" s="2">
        <f>SUMPRODUCT((Modelo!$D$3:$D$106=$A49)*Modelo!$H$3:$H$106)+SUMPRODUCT((Modelo!$E$3:$E$106=$A49)*Modelo!$H$3:$H$106)</f>
        <v/>
      </c>
      <c r="F49" s="2" t="n">
        <v>0.825</v>
      </c>
      <c r="G49" s="2" t="n">
        <v>1.207</v>
      </c>
      <c r="H49" s="2" t="n">
        <v>1.146</v>
      </c>
      <c r="J49" s="2" t="inlineStr">
        <is>
          <t>Curaçao</t>
        </is>
      </c>
      <c r="K49" s="2" t="inlineStr">
        <is>
          <t>Curaçao</t>
        </is>
      </c>
      <c r="L49" s="2" t="inlineStr">
        <is>
          <t>Curaçao</t>
        </is>
      </c>
    </row>
    <row r="50" ht="15" customHeight="1">
      <c r="J50" s="2" t="inlineStr">
        <is>
          <t>Qatar</t>
        </is>
      </c>
      <c r="K50" s="2" t="inlineStr">
        <is>
          <t>Qatar</t>
        </is>
      </c>
      <c r="L50" s="2" t="inlineStr">
        <is>
          <t>Qatar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A6A6A6"/>
    <outlinePr summaryBelow="1" summaryRight="1"/>
    <pageSetUpPr/>
  </sheetPr>
  <dimension ref="A1:BZ108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1" sqref="A1"/>
    </sheetView>
  </sheetViews>
  <sheetFormatPr baseColWidth="10" defaultColWidth="8.6640625" defaultRowHeight="14.25"/>
  <cols>
    <col width="6" customWidth="1" min="1" max="1"/>
    <col width="11" customWidth="1" min="2" max="2"/>
    <col width="9" customWidth="1" min="3" max="3"/>
    <col width="18" customWidth="1" min="4" max="5"/>
    <col width="8.46484375" customWidth="1" min="6" max="27"/>
    <col width="9" customWidth="1" min="31" max="78"/>
  </cols>
  <sheetData>
    <row r="1" ht="15" customHeight="1">
      <c r="A1" s="1" t="inlineStr">
        <is>
          <t>ID</t>
        </is>
      </c>
      <c r="B1" s="1" t="inlineStr">
        <is>
          <t>Fecha</t>
        </is>
      </c>
      <c r="C1" s="1" t="inlineStr">
        <is>
          <t>Fase</t>
        </is>
      </c>
      <c r="D1" s="1" t="inlineStr">
        <is>
          <t>Equipo_A</t>
        </is>
      </c>
      <c r="E1" s="1" t="inlineStr">
        <is>
          <t>Equipo_B</t>
        </is>
      </c>
      <c r="F1" s="1" t="inlineStr">
        <is>
          <t>Loc_A</t>
        </is>
      </c>
      <c r="G1" s="1" t="inlineStr">
        <is>
          <t>Loc_B</t>
        </is>
      </c>
      <c r="H1" s="1" t="inlineStr">
        <is>
          <t>Jugado</t>
        </is>
      </c>
      <c r="I1" s="1" t="inlineStr">
        <is>
          <t>GA</t>
        </is>
      </c>
      <c r="J1" s="1" t="inlineStr">
        <is>
          <t>GB</t>
        </is>
      </c>
      <c r="K1" s="1" t="inlineStr">
        <is>
          <t>Elo_A_pre</t>
        </is>
      </c>
      <c r="L1" s="1" t="inlineStr">
        <is>
          <t>Elo_B_pre</t>
        </is>
      </c>
      <c r="M1" s="1" t="inlineStr">
        <is>
          <t>dr</t>
        </is>
      </c>
      <c r="N1" s="1" t="inlineStr">
        <is>
          <t>E_A</t>
        </is>
      </c>
      <c r="O1" s="1" t="inlineStr">
        <is>
          <t>S_A</t>
        </is>
      </c>
      <c r="P1" s="1" t="inlineStr">
        <is>
          <t>G_mult</t>
        </is>
      </c>
      <c r="Q1" s="1" t="inlineStr">
        <is>
          <t>Delta_A</t>
        </is>
      </c>
      <c r="R1" s="1" t="inlineStr">
        <is>
          <t>Elo_A_post</t>
        </is>
      </c>
      <c r="S1" s="1" t="inlineStr">
        <is>
          <t>Elo_B_post</t>
        </is>
      </c>
      <c r="T1" s="1" t="inlineStr">
        <is>
          <t>Δ_goles</t>
        </is>
      </c>
      <c r="U1" s="1" t="inlineStr">
        <is>
          <t>Att_A</t>
        </is>
      </c>
      <c r="V1" s="1" t="inlineStr">
        <is>
          <t>Def_A</t>
        </is>
      </c>
      <c r="W1" s="1" t="inlineStr">
        <is>
          <t>Att_B</t>
        </is>
      </c>
      <c r="X1" s="1" t="inlineStr">
        <is>
          <t>Def_B</t>
        </is>
      </c>
      <c r="Y1" s="1" t="inlineStr">
        <is>
          <t>Total</t>
        </is>
      </c>
      <c r="Z1" s="1" t="inlineStr">
        <is>
          <t>λ_A</t>
        </is>
      </c>
      <c r="AA1" s="1" t="inlineStr">
        <is>
          <t>λ_B</t>
        </is>
      </c>
      <c r="AE1" s="9">
        <f>Equipos!$A2</f>
        <v/>
      </c>
      <c r="AF1" s="9">
        <f>Equipos!$A3</f>
        <v/>
      </c>
      <c r="AG1" s="9">
        <f>Equipos!$A4</f>
        <v/>
      </c>
      <c r="AH1" s="9">
        <f>Equipos!$A5</f>
        <v/>
      </c>
      <c r="AI1" s="9">
        <f>Equipos!$A6</f>
        <v/>
      </c>
      <c r="AJ1" s="9">
        <f>Equipos!$A7</f>
        <v/>
      </c>
      <c r="AK1" s="9">
        <f>Equipos!$A8</f>
        <v/>
      </c>
      <c r="AL1" s="9">
        <f>Equipos!$A9</f>
        <v/>
      </c>
      <c r="AM1" s="9">
        <f>Equipos!$A10</f>
        <v/>
      </c>
      <c r="AN1" s="9">
        <f>Equipos!$A11</f>
        <v/>
      </c>
      <c r="AO1" s="9">
        <f>Equipos!$A12</f>
        <v/>
      </c>
      <c r="AP1" s="9">
        <f>Equipos!$A13</f>
        <v/>
      </c>
      <c r="AQ1" s="9">
        <f>Equipos!$A14</f>
        <v/>
      </c>
      <c r="AR1" s="9">
        <f>Equipos!$A15</f>
        <v/>
      </c>
      <c r="AS1" s="9">
        <f>Equipos!$A16</f>
        <v/>
      </c>
      <c r="AT1" s="9">
        <f>Equipos!$A17</f>
        <v/>
      </c>
      <c r="AU1" s="9">
        <f>Equipos!$A18</f>
        <v/>
      </c>
      <c r="AV1" s="9">
        <f>Equipos!$A19</f>
        <v/>
      </c>
      <c r="AW1" s="9">
        <f>Equipos!$A20</f>
        <v/>
      </c>
      <c r="AX1" s="9">
        <f>Equipos!$A21</f>
        <v/>
      </c>
      <c r="AY1" s="9">
        <f>Equipos!$A22</f>
        <v/>
      </c>
      <c r="AZ1" s="9">
        <f>Equipos!$A23</f>
        <v/>
      </c>
      <c r="BA1" s="9">
        <f>Equipos!$A24</f>
        <v/>
      </c>
      <c r="BB1" s="9">
        <f>Equipos!$A25</f>
        <v/>
      </c>
      <c r="BC1" s="9">
        <f>Equipos!$A26</f>
        <v/>
      </c>
      <c r="BD1" s="9">
        <f>Equipos!$A27</f>
        <v/>
      </c>
      <c r="BE1" s="9">
        <f>Equipos!$A28</f>
        <v/>
      </c>
      <c r="BF1" s="9">
        <f>Equipos!$A29</f>
        <v/>
      </c>
      <c r="BG1" s="9">
        <f>Equipos!$A30</f>
        <v/>
      </c>
      <c r="BH1" s="9">
        <f>Equipos!$A31</f>
        <v/>
      </c>
      <c r="BI1" s="9">
        <f>Equipos!$A32</f>
        <v/>
      </c>
      <c r="BJ1" s="9">
        <f>Equipos!$A33</f>
        <v/>
      </c>
      <c r="BK1" s="9">
        <f>Equipos!$A34</f>
        <v/>
      </c>
      <c r="BL1" s="9">
        <f>Equipos!$A35</f>
        <v/>
      </c>
      <c r="BM1" s="9">
        <f>Equipos!$A36</f>
        <v/>
      </c>
      <c r="BN1" s="9">
        <f>Equipos!$A37</f>
        <v/>
      </c>
      <c r="BO1" s="9">
        <f>Equipos!$A38</f>
        <v/>
      </c>
      <c r="BP1" s="9">
        <f>Equipos!$A39</f>
        <v/>
      </c>
      <c r="BQ1" s="9">
        <f>Equipos!$A40</f>
        <v/>
      </c>
      <c r="BR1" s="9">
        <f>Equipos!$A41</f>
        <v/>
      </c>
      <c r="BS1" s="9">
        <f>Equipos!$A42</f>
        <v/>
      </c>
      <c r="BT1" s="9">
        <f>Equipos!$A43</f>
        <v/>
      </c>
      <c r="BU1" s="9">
        <f>Equipos!$A44</f>
        <v/>
      </c>
      <c r="BV1" s="9">
        <f>Equipos!$A45</f>
        <v/>
      </c>
      <c r="BW1" s="9">
        <f>Equipos!$A46</f>
        <v/>
      </c>
      <c r="BX1" s="9">
        <f>Equipos!$A47</f>
        <v/>
      </c>
      <c r="BY1" s="9">
        <f>Equipos!$A48</f>
        <v/>
      </c>
      <c r="BZ1" s="9">
        <f>Equipos!$A49</f>
        <v/>
      </c>
    </row>
    <row r="2" ht="15" customHeight="1">
      <c r="A2" s="10" t="inlineStr">
        <is>
          <t>INICIAL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E2" s="11">
        <f>VLOOKUP(AE$1,Equipos!$A:$C,3,0)</f>
        <v/>
      </c>
      <c r="AF2" s="11">
        <f>VLOOKUP(AF$1,Equipos!$A:$C,3,0)</f>
        <v/>
      </c>
      <c r="AG2" s="11">
        <f>VLOOKUP(AG$1,Equipos!$A:$C,3,0)</f>
        <v/>
      </c>
      <c r="AH2" s="11">
        <f>VLOOKUP(AH$1,Equipos!$A:$C,3,0)</f>
        <v/>
      </c>
      <c r="AI2" s="11">
        <f>VLOOKUP(AI$1,Equipos!$A:$C,3,0)</f>
        <v/>
      </c>
      <c r="AJ2" s="11">
        <f>VLOOKUP(AJ$1,Equipos!$A:$C,3,0)</f>
        <v/>
      </c>
      <c r="AK2" s="11">
        <f>VLOOKUP(AK$1,Equipos!$A:$C,3,0)</f>
        <v/>
      </c>
      <c r="AL2" s="11">
        <f>VLOOKUP(AL$1,Equipos!$A:$C,3,0)</f>
        <v/>
      </c>
      <c r="AM2" s="11">
        <f>VLOOKUP(AM$1,Equipos!$A:$C,3,0)</f>
        <v/>
      </c>
      <c r="AN2" s="11">
        <f>VLOOKUP(AN$1,Equipos!$A:$C,3,0)</f>
        <v/>
      </c>
      <c r="AO2" s="11">
        <f>VLOOKUP(AO$1,Equipos!$A:$C,3,0)</f>
        <v/>
      </c>
      <c r="AP2" s="11">
        <f>VLOOKUP(AP$1,Equipos!$A:$C,3,0)</f>
        <v/>
      </c>
      <c r="AQ2" s="11">
        <f>VLOOKUP(AQ$1,Equipos!$A:$C,3,0)</f>
        <v/>
      </c>
      <c r="AR2" s="11">
        <f>VLOOKUP(AR$1,Equipos!$A:$C,3,0)</f>
        <v/>
      </c>
      <c r="AS2" s="11">
        <f>VLOOKUP(AS$1,Equipos!$A:$C,3,0)</f>
        <v/>
      </c>
      <c r="AT2" s="11">
        <f>VLOOKUP(AT$1,Equipos!$A:$C,3,0)</f>
        <v/>
      </c>
      <c r="AU2" s="11">
        <f>VLOOKUP(AU$1,Equipos!$A:$C,3,0)</f>
        <v/>
      </c>
      <c r="AV2" s="11">
        <f>VLOOKUP(AV$1,Equipos!$A:$C,3,0)</f>
        <v/>
      </c>
      <c r="AW2" s="11">
        <f>VLOOKUP(AW$1,Equipos!$A:$C,3,0)</f>
        <v/>
      </c>
      <c r="AX2" s="11">
        <f>VLOOKUP(AX$1,Equipos!$A:$C,3,0)</f>
        <v/>
      </c>
      <c r="AY2" s="11">
        <f>VLOOKUP(AY$1,Equipos!$A:$C,3,0)</f>
        <v/>
      </c>
      <c r="AZ2" s="11">
        <f>VLOOKUP(AZ$1,Equipos!$A:$C,3,0)</f>
        <v/>
      </c>
      <c r="BA2" s="11">
        <f>VLOOKUP(BA$1,Equipos!$A:$C,3,0)</f>
        <v/>
      </c>
      <c r="BB2" s="11">
        <f>VLOOKUP(BB$1,Equipos!$A:$C,3,0)</f>
        <v/>
      </c>
      <c r="BC2" s="11">
        <f>VLOOKUP(BC$1,Equipos!$A:$C,3,0)</f>
        <v/>
      </c>
      <c r="BD2" s="11">
        <f>VLOOKUP(BD$1,Equipos!$A:$C,3,0)</f>
        <v/>
      </c>
      <c r="BE2" s="11">
        <f>VLOOKUP(BE$1,Equipos!$A:$C,3,0)</f>
        <v/>
      </c>
      <c r="BF2" s="11">
        <f>VLOOKUP(BF$1,Equipos!$A:$C,3,0)</f>
        <v/>
      </c>
      <c r="BG2" s="11">
        <f>VLOOKUP(BG$1,Equipos!$A:$C,3,0)</f>
        <v/>
      </c>
      <c r="BH2" s="11">
        <f>VLOOKUP(BH$1,Equipos!$A:$C,3,0)</f>
        <v/>
      </c>
      <c r="BI2" s="11">
        <f>VLOOKUP(BI$1,Equipos!$A:$C,3,0)</f>
        <v/>
      </c>
      <c r="BJ2" s="11">
        <f>VLOOKUP(BJ$1,Equipos!$A:$C,3,0)</f>
        <v/>
      </c>
      <c r="BK2" s="11">
        <f>VLOOKUP(BK$1,Equipos!$A:$C,3,0)</f>
        <v/>
      </c>
      <c r="BL2" s="11">
        <f>VLOOKUP(BL$1,Equipos!$A:$C,3,0)</f>
        <v/>
      </c>
      <c r="BM2" s="11">
        <f>VLOOKUP(BM$1,Equipos!$A:$C,3,0)</f>
        <v/>
      </c>
      <c r="BN2" s="11">
        <f>VLOOKUP(BN$1,Equipos!$A:$C,3,0)</f>
        <v/>
      </c>
      <c r="BO2" s="11">
        <f>VLOOKUP(BO$1,Equipos!$A:$C,3,0)</f>
        <v/>
      </c>
      <c r="BP2" s="11">
        <f>VLOOKUP(BP$1,Equipos!$A:$C,3,0)</f>
        <v/>
      </c>
      <c r="BQ2" s="11">
        <f>VLOOKUP(BQ$1,Equipos!$A:$C,3,0)</f>
        <v/>
      </c>
      <c r="BR2" s="11">
        <f>VLOOKUP(BR$1,Equipos!$A:$C,3,0)</f>
        <v/>
      </c>
      <c r="BS2" s="11">
        <f>VLOOKUP(BS$1,Equipos!$A:$C,3,0)</f>
        <v/>
      </c>
      <c r="BT2" s="11">
        <f>VLOOKUP(BT$1,Equipos!$A:$C,3,0)</f>
        <v/>
      </c>
      <c r="BU2" s="11">
        <f>VLOOKUP(BU$1,Equipos!$A:$C,3,0)</f>
        <v/>
      </c>
      <c r="BV2" s="11">
        <f>VLOOKUP(BV$1,Equipos!$A:$C,3,0)</f>
        <v/>
      </c>
      <c r="BW2" s="11">
        <f>VLOOKUP(BW$1,Equipos!$A:$C,3,0)</f>
        <v/>
      </c>
      <c r="BX2" s="11">
        <f>VLOOKUP(BX$1,Equipos!$A:$C,3,0)</f>
        <v/>
      </c>
      <c r="BY2" s="11">
        <f>VLOOKUP(BY$1,Equipos!$A:$C,3,0)</f>
        <v/>
      </c>
      <c r="BZ2" s="11">
        <f>VLOOKUP(BZ$1,Equipos!$A:$C,3,0)</f>
        <v/>
      </c>
    </row>
    <row r="3" ht="15" customHeight="1">
      <c r="A3" s="7">
        <f>Fixture!A2</f>
        <v/>
      </c>
      <c r="B3" s="7">
        <f>Fixture!B2</f>
        <v/>
      </c>
      <c r="C3" s="7">
        <f>Fixture!C2</f>
        <v/>
      </c>
      <c r="D3" s="7">
        <f>Fixture!E2</f>
        <v/>
      </c>
      <c r="E3" s="7">
        <f>Fixture!F2</f>
        <v/>
      </c>
      <c r="F3" s="7">
        <f>Fixture!J2</f>
        <v/>
      </c>
      <c r="G3" s="7">
        <f>Fixture!K2</f>
        <v/>
      </c>
      <c r="H3" s="7">
        <f>IF(ISNUMBER(Resultados!B2),1,0)</f>
        <v/>
      </c>
      <c r="I3" s="7">
        <f>IF($H3=1,Resultados!B2,0)</f>
        <v/>
      </c>
      <c r="J3" s="7">
        <f>IF($H3=1,Resultados!C2,0)</f>
        <v/>
      </c>
      <c r="K3" s="12">
        <f>IFERROR(INDEX($AE2:$BZ2,MATCH($D3,$AE$1:$BZ$1,0)),"")</f>
        <v/>
      </c>
      <c r="L3" s="12">
        <f>IFERROR(INDEX($AE2:$BZ2,MATCH($E3,$AE$1:$BZ$1,0)),"")</f>
        <v/>
      </c>
      <c r="M3" s="12">
        <f>IF(OR($K3="",$L3=""),"",($K3+100*$F3)-($L3+100*$G3))</f>
        <v/>
      </c>
      <c r="N3" s="13">
        <f>IF($M3="","",1/(1+10^(-$M3/400)))</f>
        <v/>
      </c>
      <c r="O3" s="7">
        <f>IF(OR($H3=0,$N3=""),"",IF($I3&gt;$J3,1,IF($I3=$J3,0.5,0)))</f>
        <v/>
      </c>
      <c r="P3" s="14">
        <f>IF($O3="","",IF(ABS($I3-$J3)&lt;=1,1,IF(ABS($I3-$J3)=2,1.5,IF(ABS($I3-$J3)=3,1.75,1.75+(ABS($I3-$J3)-3)/8))))</f>
        <v/>
      </c>
      <c r="Q3" s="14">
        <f>IF($O3="",0,Equipos!$O$4*$P3*($O3-$N3))</f>
        <v/>
      </c>
      <c r="R3" s="12">
        <f>IF($K3="","",$K3+$Q3)</f>
        <v/>
      </c>
      <c r="S3" s="12">
        <f>IF($L3="","",$L3-$Q3)</f>
        <v/>
      </c>
      <c r="T3" s="14">
        <f>IF($M3="","",Equipos!$O$3*$M3)</f>
        <v/>
      </c>
      <c r="U3" s="14">
        <f>IFERROR(VLOOKUP($D3,Equipos!$A:$H,6,0),"")</f>
        <v/>
      </c>
      <c r="V3" s="14">
        <f>IFERROR(VLOOKUP($D3,Equipos!$A:$H,7,0),"")</f>
        <v/>
      </c>
      <c r="W3" s="14">
        <f>IFERROR(VLOOKUP($E3,Equipos!$A:$H,6,0),"")</f>
        <v/>
      </c>
      <c r="X3" s="14">
        <f>IFERROR(VLOOKUP($E3,Equipos!$A:$H,7,0),"")</f>
        <v/>
      </c>
      <c r="Y3" s="14">
        <f>IF(OR($U3="",$W3=""),"",MIN(3.6,MAX(1.8,Equipos!$O$2*SQRT($U3*$W3*$V3*$X3))))</f>
        <v/>
      </c>
      <c r="Z3" s="14">
        <f>IF(OR($Y3="",$T3=""),"",MAX(0.2,($Y3+$T3)/2))</f>
        <v/>
      </c>
      <c r="AA3" s="14">
        <f>IF(OR($Y3="",$T3=""),"",MAX(0.2,($Y3-$T3)/2))</f>
        <v/>
      </c>
      <c r="AE3" s="15">
        <f>IF($D3=AE$1,$R3,IF($E3=AE$1,$S3,AE2))</f>
        <v/>
      </c>
      <c r="AF3" s="15">
        <f>IF($D3=AF$1,$R3,IF($E3=AF$1,$S3,AF2))</f>
        <v/>
      </c>
      <c r="AG3" s="15">
        <f>IF($D3=AG$1,$R3,IF($E3=AG$1,$S3,AG2))</f>
        <v/>
      </c>
      <c r="AH3" s="15">
        <f>IF($D3=AH$1,$R3,IF($E3=AH$1,$S3,AH2))</f>
        <v/>
      </c>
      <c r="AI3" s="15">
        <f>IF($D3=AI$1,$R3,IF($E3=AI$1,$S3,AI2))</f>
        <v/>
      </c>
      <c r="AJ3" s="15">
        <f>IF($D3=AJ$1,$R3,IF($E3=AJ$1,$S3,AJ2))</f>
        <v/>
      </c>
      <c r="AK3" s="15">
        <f>IF($D3=AK$1,$R3,IF($E3=AK$1,$S3,AK2))</f>
        <v/>
      </c>
      <c r="AL3" s="15">
        <f>IF($D3=AL$1,$R3,IF($E3=AL$1,$S3,AL2))</f>
        <v/>
      </c>
      <c r="AM3" s="15">
        <f>IF($D3=AM$1,$R3,IF($E3=AM$1,$S3,AM2))</f>
        <v/>
      </c>
      <c r="AN3" s="15">
        <f>IF($D3=AN$1,$R3,IF($E3=AN$1,$S3,AN2))</f>
        <v/>
      </c>
      <c r="AO3" s="15">
        <f>IF($D3=AO$1,$R3,IF($E3=AO$1,$S3,AO2))</f>
        <v/>
      </c>
      <c r="AP3" s="15">
        <f>IF($D3=AP$1,$R3,IF($E3=AP$1,$S3,AP2))</f>
        <v/>
      </c>
      <c r="AQ3" s="15">
        <f>IF($D3=AQ$1,$R3,IF($E3=AQ$1,$S3,AQ2))</f>
        <v/>
      </c>
      <c r="AR3" s="15">
        <f>IF($D3=AR$1,$R3,IF($E3=AR$1,$S3,AR2))</f>
        <v/>
      </c>
      <c r="AS3" s="15">
        <f>IF($D3=AS$1,$R3,IF($E3=AS$1,$S3,AS2))</f>
        <v/>
      </c>
      <c r="AT3" s="15">
        <f>IF($D3=AT$1,$R3,IF($E3=AT$1,$S3,AT2))</f>
        <v/>
      </c>
      <c r="AU3" s="15">
        <f>IF($D3=AU$1,$R3,IF($E3=AU$1,$S3,AU2))</f>
        <v/>
      </c>
      <c r="AV3" s="15">
        <f>IF($D3=AV$1,$R3,IF($E3=AV$1,$S3,AV2))</f>
        <v/>
      </c>
      <c r="AW3" s="15">
        <f>IF($D3=AW$1,$R3,IF($E3=AW$1,$S3,AW2))</f>
        <v/>
      </c>
      <c r="AX3" s="15">
        <f>IF($D3=AX$1,$R3,IF($E3=AX$1,$S3,AX2))</f>
        <v/>
      </c>
      <c r="AY3" s="15">
        <f>IF($D3=AY$1,$R3,IF($E3=AY$1,$S3,AY2))</f>
        <v/>
      </c>
      <c r="AZ3" s="15">
        <f>IF($D3=AZ$1,$R3,IF($E3=AZ$1,$S3,AZ2))</f>
        <v/>
      </c>
      <c r="BA3" s="15">
        <f>IF($D3=BA$1,$R3,IF($E3=BA$1,$S3,BA2))</f>
        <v/>
      </c>
      <c r="BB3" s="15">
        <f>IF($D3=BB$1,$R3,IF($E3=BB$1,$S3,BB2))</f>
        <v/>
      </c>
      <c r="BC3" s="15">
        <f>IF($D3=BC$1,$R3,IF($E3=BC$1,$S3,BC2))</f>
        <v/>
      </c>
      <c r="BD3" s="15">
        <f>IF($D3=BD$1,$R3,IF($E3=BD$1,$S3,BD2))</f>
        <v/>
      </c>
      <c r="BE3" s="15">
        <f>IF($D3=BE$1,$R3,IF($E3=BE$1,$S3,BE2))</f>
        <v/>
      </c>
      <c r="BF3" s="15">
        <f>IF($D3=BF$1,$R3,IF($E3=BF$1,$S3,BF2))</f>
        <v/>
      </c>
      <c r="BG3" s="15">
        <f>IF($D3=BG$1,$R3,IF($E3=BG$1,$S3,BG2))</f>
        <v/>
      </c>
      <c r="BH3" s="15">
        <f>IF($D3=BH$1,$R3,IF($E3=BH$1,$S3,BH2))</f>
        <v/>
      </c>
      <c r="BI3" s="15">
        <f>IF($D3=BI$1,$R3,IF($E3=BI$1,$S3,BI2))</f>
        <v/>
      </c>
      <c r="BJ3" s="15">
        <f>IF($D3=BJ$1,$R3,IF($E3=BJ$1,$S3,BJ2))</f>
        <v/>
      </c>
      <c r="BK3" s="15">
        <f>IF($D3=BK$1,$R3,IF($E3=BK$1,$S3,BK2))</f>
        <v/>
      </c>
      <c r="BL3" s="15">
        <f>IF($D3=BL$1,$R3,IF($E3=BL$1,$S3,BL2))</f>
        <v/>
      </c>
      <c r="BM3" s="15">
        <f>IF($D3=BM$1,$R3,IF($E3=BM$1,$S3,BM2))</f>
        <v/>
      </c>
      <c r="BN3" s="15">
        <f>IF($D3=BN$1,$R3,IF($E3=BN$1,$S3,BN2))</f>
        <v/>
      </c>
      <c r="BO3" s="15">
        <f>IF($D3=BO$1,$R3,IF($E3=BO$1,$S3,BO2))</f>
        <v/>
      </c>
      <c r="BP3" s="15">
        <f>IF($D3=BP$1,$R3,IF($E3=BP$1,$S3,BP2))</f>
        <v/>
      </c>
      <c r="BQ3" s="15">
        <f>IF($D3=BQ$1,$R3,IF($E3=BQ$1,$S3,BQ2))</f>
        <v/>
      </c>
      <c r="BR3" s="15">
        <f>IF($D3=BR$1,$R3,IF($E3=BR$1,$S3,BR2))</f>
        <v/>
      </c>
      <c r="BS3" s="15">
        <f>IF($D3=BS$1,$R3,IF($E3=BS$1,$S3,BS2))</f>
        <v/>
      </c>
      <c r="BT3" s="15">
        <f>IF($D3=BT$1,$R3,IF($E3=BT$1,$S3,BT2))</f>
        <v/>
      </c>
      <c r="BU3" s="15">
        <f>IF($D3=BU$1,$R3,IF($E3=BU$1,$S3,BU2))</f>
        <v/>
      </c>
      <c r="BV3" s="15">
        <f>IF($D3=BV$1,$R3,IF($E3=BV$1,$S3,BV2))</f>
        <v/>
      </c>
      <c r="BW3" s="15">
        <f>IF($D3=BW$1,$R3,IF($E3=BW$1,$S3,BW2))</f>
        <v/>
      </c>
      <c r="BX3" s="15">
        <f>IF($D3=BX$1,$R3,IF($E3=BX$1,$S3,BX2))</f>
        <v/>
      </c>
      <c r="BY3" s="15">
        <f>IF($D3=BY$1,$R3,IF($E3=BY$1,$S3,BY2))</f>
        <v/>
      </c>
      <c r="BZ3" s="15">
        <f>IF($D3=BZ$1,$R3,IF($E3=BZ$1,$S3,BZ2))</f>
        <v/>
      </c>
    </row>
    <row r="4" ht="15" customHeight="1">
      <c r="A4" s="7">
        <f>Fixture!A3</f>
        <v/>
      </c>
      <c r="B4" s="7">
        <f>Fixture!B3</f>
        <v/>
      </c>
      <c r="C4" s="7">
        <f>Fixture!C3</f>
        <v/>
      </c>
      <c r="D4" s="7">
        <f>Fixture!E3</f>
        <v/>
      </c>
      <c r="E4" s="7">
        <f>Fixture!F3</f>
        <v/>
      </c>
      <c r="F4" s="7">
        <f>Fixture!J3</f>
        <v/>
      </c>
      <c r="G4" s="7">
        <f>Fixture!K3</f>
        <v/>
      </c>
      <c r="H4" s="7">
        <f>IF(ISNUMBER(Resultados!B3),1,0)</f>
        <v/>
      </c>
      <c r="I4" s="7">
        <f>IF($H4=1,Resultados!B3,0)</f>
        <v/>
      </c>
      <c r="J4" s="7">
        <f>IF($H4=1,Resultados!C3,0)</f>
        <v/>
      </c>
      <c r="K4" s="12">
        <f>IFERROR(INDEX($AE3:$BZ3,MATCH($D4,$AE$1:$BZ$1,0)),"")</f>
        <v/>
      </c>
      <c r="L4" s="12">
        <f>IFERROR(INDEX($AE3:$BZ3,MATCH($E4,$AE$1:$BZ$1,0)),"")</f>
        <v/>
      </c>
      <c r="M4" s="12">
        <f>IF(OR($K4="",$L4=""),"",($K4+100*$F4)-($L4+100*$G4))</f>
        <v/>
      </c>
      <c r="N4" s="13">
        <f>IF($M4="","",1/(1+10^(-$M4/400)))</f>
        <v/>
      </c>
      <c r="O4" s="7">
        <f>IF(OR($H4=0,$N4=""),"",IF($I4&gt;$J4,1,IF($I4=$J4,0.5,0)))</f>
        <v/>
      </c>
      <c r="P4" s="14">
        <f>IF($O4="","",IF(ABS($I4-$J4)&lt;=1,1,IF(ABS($I4-$J4)=2,1.5,IF(ABS($I4-$J4)=3,1.75,1.75+(ABS($I4-$J4)-3)/8))))</f>
        <v/>
      </c>
      <c r="Q4" s="14">
        <f>IF($O4="",0,Equipos!$O$4*$P4*($O4-$N4))</f>
        <v/>
      </c>
      <c r="R4" s="12">
        <f>IF($K4="","",$K4+$Q4)</f>
        <v/>
      </c>
      <c r="S4" s="12">
        <f>IF($L4="","",$L4-$Q4)</f>
        <v/>
      </c>
      <c r="T4" s="14">
        <f>IF($M4="","",Equipos!$O$3*$M4)</f>
        <v/>
      </c>
      <c r="U4" s="14">
        <f>IFERROR(VLOOKUP($D4,Equipos!$A:$H,6,0),"")</f>
        <v/>
      </c>
      <c r="V4" s="14">
        <f>IFERROR(VLOOKUP($D4,Equipos!$A:$H,7,0),"")</f>
        <v/>
      </c>
      <c r="W4" s="14">
        <f>IFERROR(VLOOKUP($E4,Equipos!$A:$H,6,0),"")</f>
        <v/>
      </c>
      <c r="X4" s="14">
        <f>IFERROR(VLOOKUP($E4,Equipos!$A:$H,7,0),"")</f>
        <v/>
      </c>
      <c r="Y4" s="14">
        <f>IF(OR($U4="",$W4=""),"",MIN(3.6,MAX(1.8,Equipos!$O$2*SQRT($U4*$W4*$V4*$X4))))</f>
        <v/>
      </c>
      <c r="Z4" s="14">
        <f>IF(OR($Y4="",$T4=""),"",MAX(0.2,($Y4+$T4)/2))</f>
        <v/>
      </c>
      <c r="AA4" s="14">
        <f>IF(OR($Y4="",$T4=""),"",MAX(0.2,($Y4-$T4)/2))</f>
        <v/>
      </c>
      <c r="AE4" s="15">
        <f>IF($D4=AE$1,$R4,IF($E4=AE$1,$S4,AE3))</f>
        <v/>
      </c>
      <c r="AF4" s="15">
        <f>IF($D4=AF$1,$R4,IF($E4=AF$1,$S4,AF3))</f>
        <v/>
      </c>
      <c r="AG4" s="15">
        <f>IF($D4=AG$1,$R4,IF($E4=AG$1,$S4,AG3))</f>
        <v/>
      </c>
      <c r="AH4" s="15">
        <f>IF($D4=AH$1,$R4,IF($E4=AH$1,$S4,AH3))</f>
        <v/>
      </c>
      <c r="AI4" s="15">
        <f>IF($D4=AI$1,$R4,IF($E4=AI$1,$S4,AI3))</f>
        <v/>
      </c>
      <c r="AJ4" s="15">
        <f>IF($D4=AJ$1,$R4,IF($E4=AJ$1,$S4,AJ3))</f>
        <v/>
      </c>
      <c r="AK4" s="15">
        <f>IF($D4=AK$1,$R4,IF($E4=AK$1,$S4,AK3))</f>
        <v/>
      </c>
      <c r="AL4" s="15">
        <f>IF($D4=AL$1,$R4,IF($E4=AL$1,$S4,AL3))</f>
        <v/>
      </c>
      <c r="AM4" s="15">
        <f>IF($D4=AM$1,$R4,IF($E4=AM$1,$S4,AM3))</f>
        <v/>
      </c>
      <c r="AN4" s="15">
        <f>IF($D4=AN$1,$R4,IF($E4=AN$1,$S4,AN3))</f>
        <v/>
      </c>
      <c r="AO4" s="15">
        <f>IF($D4=AO$1,$R4,IF($E4=AO$1,$S4,AO3))</f>
        <v/>
      </c>
      <c r="AP4" s="15">
        <f>IF($D4=AP$1,$R4,IF($E4=AP$1,$S4,AP3))</f>
        <v/>
      </c>
      <c r="AQ4" s="15">
        <f>IF($D4=AQ$1,$R4,IF($E4=AQ$1,$S4,AQ3))</f>
        <v/>
      </c>
      <c r="AR4" s="15">
        <f>IF($D4=AR$1,$R4,IF($E4=AR$1,$S4,AR3))</f>
        <v/>
      </c>
      <c r="AS4" s="15">
        <f>IF($D4=AS$1,$R4,IF($E4=AS$1,$S4,AS3))</f>
        <v/>
      </c>
      <c r="AT4" s="15">
        <f>IF($D4=AT$1,$R4,IF($E4=AT$1,$S4,AT3))</f>
        <v/>
      </c>
      <c r="AU4" s="15">
        <f>IF($D4=AU$1,$R4,IF($E4=AU$1,$S4,AU3))</f>
        <v/>
      </c>
      <c r="AV4" s="15">
        <f>IF($D4=AV$1,$R4,IF($E4=AV$1,$S4,AV3))</f>
        <v/>
      </c>
      <c r="AW4" s="15">
        <f>IF($D4=AW$1,$R4,IF($E4=AW$1,$S4,AW3))</f>
        <v/>
      </c>
      <c r="AX4" s="15">
        <f>IF($D4=AX$1,$R4,IF($E4=AX$1,$S4,AX3))</f>
        <v/>
      </c>
      <c r="AY4" s="15">
        <f>IF($D4=AY$1,$R4,IF($E4=AY$1,$S4,AY3))</f>
        <v/>
      </c>
      <c r="AZ4" s="15">
        <f>IF($D4=AZ$1,$R4,IF($E4=AZ$1,$S4,AZ3))</f>
        <v/>
      </c>
      <c r="BA4" s="15">
        <f>IF($D4=BA$1,$R4,IF($E4=BA$1,$S4,BA3))</f>
        <v/>
      </c>
      <c r="BB4" s="15">
        <f>IF($D4=BB$1,$R4,IF($E4=BB$1,$S4,BB3))</f>
        <v/>
      </c>
      <c r="BC4" s="15">
        <f>IF($D4=BC$1,$R4,IF($E4=BC$1,$S4,BC3))</f>
        <v/>
      </c>
      <c r="BD4" s="15">
        <f>IF($D4=BD$1,$R4,IF($E4=BD$1,$S4,BD3))</f>
        <v/>
      </c>
      <c r="BE4" s="15">
        <f>IF($D4=BE$1,$R4,IF($E4=BE$1,$S4,BE3))</f>
        <v/>
      </c>
      <c r="BF4" s="15">
        <f>IF($D4=BF$1,$R4,IF($E4=BF$1,$S4,BF3))</f>
        <v/>
      </c>
      <c r="BG4" s="15">
        <f>IF($D4=BG$1,$R4,IF($E4=BG$1,$S4,BG3))</f>
        <v/>
      </c>
      <c r="BH4" s="15">
        <f>IF($D4=BH$1,$R4,IF($E4=BH$1,$S4,BH3))</f>
        <v/>
      </c>
      <c r="BI4" s="15">
        <f>IF($D4=BI$1,$R4,IF($E4=BI$1,$S4,BI3))</f>
        <v/>
      </c>
      <c r="BJ4" s="15">
        <f>IF($D4=BJ$1,$R4,IF($E4=BJ$1,$S4,BJ3))</f>
        <v/>
      </c>
      <c r="BK4" s="15">
        <f>IF($D4=BK$1,$R4,IF($E4=BK$1,$S4,BK3))</f>
        <v/>
      </c>
      <c r="BL4" s="15">
        <f>IF($D4=BL$1,$R4,IF($E4=BL$1,$S4,BL3))</f>
        <v/>
      </c>
      <c r="BM4" s="15">
        <f>IF($D4=BM$1,$R4,IF($E4=BM$1,$S4,BM3))</f>
        <v/>
      </c>
      <c r="BN4" s="15">
        <f>IF($D4=BN$1,$R4,IF($E4=BN$1,$S4,BN3))</f>
        <v/>
      </c>
      <c r="BO4" s="15">
        <f>IF($D4=BO$1,$R4,IF($E4=BO$1,$S4,BO3))</f>
        <v/>
      </c>
      <c r="BP4" s="15">
        <f>IF($D4=BP$1,$R4,IF($E4=BP$1,$S4,BP3))</f>
        <v/>
      </c>
      <c r="BQ4" s="15">
        <f>IF($D4=BQ$1,$R4,IF($E4=BQ$1,$S4,BQ3))</f>
        <v/>
      </c>
      <c r="BR4" s="15">
        <f>IF($D4=BR$1,$R4,IF($E4=BR$1,$S4,BR3))</f>
        <v/>
      </c>
      <c r="BS4" s="15">
        <f>IF($D4=BS$1,$R4,IF($E4=BS$1,$S4,BS3))</f>
        <v/>
      </c>
      <c r="BT4" s="15">
        <f>IF($D4=BT$1,$R4,IF($E4=BT$1,$S4,BT3))</f>
        <v/>
      </c>
      <c r="BU4" s="15">
        <f>IF($D4=BU$1,$R4,IF($E4=BU$1,$S4,BU3))</f>
        <v/>
      </c>
      <c r="BV4" s="15">
        <f>IF($D4=BV$1,$R4,IF($E4=BV$1,$S4,BV3))</f>
        <v/>
      </c>
      <c r="BW4" s="15">
        <f>IF($D4=BW$1,$R4,IF($E4=BW$1,$S4,BW3))</f>
        <v/>
      </c>
      <c r="BX4" s="15">
        <f>IF($D4=BX$1,$R4,IF($E4=BX$1,$S4,BX3))</f>
        <v/>
      </c>
      <c r="BY4" s="15">
        <f>IF($D4=BY$1,$R4,IF($E4=BY$1,$S4,BY3))</f>
        <v/>
      </c>
      <c r="BZ4" s="15">
        <f>IF($D4=BZ$1,$R4,IF($E4=BZ$1,$S4,BZ3))</f>
        <v/>
      </c>
    </row>
    <row r="5" ht="15" customHeight="1">
      <c r="A5" s="7">
        <f>Fixture!A4</f>
        <v/>
      </c>
      <c r="B5" s="7">
        <f>Fixture!B4</f>
        <v/>
      </c>
      <c r="C5" s="7">
        <f>Fixture!C4</f>
        <v/>
      </c>
      <c r="D5" s="7">
        <f>Fixture!E4</f>
        <v/>
      </c>
      <c r="E5" s="7">
        <f>Fixture!F4</f>
        <v/>
      </c>
      <c r="F5" s="7">
        <f>Fixture!J4</f>
        <v/>
      </c>
      <c r="G5" s="7">
        <f>Fixture!K4</f>
        <v/>
      </c>
      <c r="H5" s="7">
        <f>IF(ISNUMBER(Resultados!B4),1,0)</f>
        <v/>
      </c>
      <c r="I5" s="7">
        <f>IF($H5=1,Resultados!B4,0)</f>
        <v/>
      </c>
      <c r="J5" s="7">
        <f>IF($H5=1,Resultados!C4,0)</f>
        <v/>
      </c>
      <c r="K5" s="12">
        <f>IFERROR(INDEX($AE4:$BZ4,MATCH($D5,$AE$1:$BZ$1,0)),"")</f>
        <v/>
      </c>
      <c r="L5" s="12">
        <f>IFERROR(INDEX($AE4:$BZ4,MATCH($E5,$AE$1:$BZ$1,0)),"")</f>
        <v/>
      </c>
      <c r="M5" s="12">
        <f>IF(OR($K5="",$L5=""),"",($K5+100*$F5)-($L5+100*$G5))</f>
        <v/>
      </c>
      <c r="N5" s="13">
        <f>IF($M5="","",1/(1+10^(-$M5/400)))</f>
        <v/>
      </c>
      <c r="O5" s="7">
        <f>IF(OR($H5=0,$N5=""),"",IF($I5&gt;$J5,1,IF($I5=$J5,0.5,0)))</f>
        <v/>
      </c>
      <c r="P5" s="14">
        <f>IF($O5="","",IF(ABS($I5-$J5)&lt;=1,1,IF(ABS($I5-$J5)=2,1.5,IF(ABS($I5-$J5)=3,1.75,1.75+(ABS($I5-$J5)-3)/8))))</f>
        <v/>
      </c>
      <c r="Q5" s="14">
        <f>IF($O5="",0,Equipos!$O$4*$P5*($O5-$N5))</f>
        <v/>
      </c>
      <c r="R5" s="12">
        <f>IF($K5="","",$K5+$Q5)</f>
        <v/>
      </c>
      <c r="S5" s="12">
        <f>IF($L5="","",$L5-$Q5)</f>
        <v/>
      </c>
      <c r="T5" s="14">
        <f>IF($M5="","",Equipos!$O$3*$M5)</f>
        <v/>
      </c>
      <c r="U5" s="14">
        <f>IFERROR(VLOOKUP($D5,Equipos!$A:$H,6,0),"")</f>
        <v/>
      </c>
      <c r="V5" s="14">
        <f>IFERROR(VLOOKUP($D5,Equipos!$A:$H,7,0),"")</f>
        <v/>
      </c>
      <c r="W5" s="14">
        <f>IFERROR(VLOOKUP($E5,Equipos!$A:$H,6,0),"")</f>
        <v/>
      </c>
      <c r="X5" s="14">
        <f>IFERROR(VLOOKUP($E5,Equipos!$A:$H,7,0),"")</f>
        <v/>
      </c>
      <c r="Y5" s="14">
        <f>IF(OR($U5="",$W5=""),"",MIN(3.6,MAX(1.8,Equipos!$O$2*SQRT($U5*$W5*$V5*$X5))))</f>
        <v/>
      </c>
      <c r="Z5" s="14">
        <f>IF(OR($Y5="",$T5=""),"",MAX(0.2,($Y5+$T5)/2))</f>
        <v/>
      </c>
      <c r="AA5" s="14">
        <f>IF(OR($Y5="",$T5=""),"",MAX(0.2,($Y5-$T5)/2))</f>
        <v/>
      </c>
      <c r="AE5" s="15">
        <f>IF($D5=AE$1,$R5,IF($E5=AE$1,$S5,AE4))</f>
        <v/>
      </c>
      <c r="AF5" s="15">
        <f>IF($D5=AF$1,$R5,IF($E5=AF$1,$S5,AF4))</f>
        <v/>
      </c>
      <c r="AG5" s="15">
        <f>IF($D5=AG$1,$R5,IF($E5=AG$1,$S5,AG4))</f>
        <v/>
      </c>
      <c r="AH5" s="15">
        <f>IF($D5=AH$1,$R5,IF($E5=AH$1,$S5,AH4))</f>
        <v/>
      </c>
      <c r="AI5" s="15">
        <f>IF($D5=AI$1,$R5,IF($E5=AI$1,$S5,AI4))</f>
        <v/>
      </c>
      <c r="AJ5" s="15">
        <f>IF($D5=AJ$1,$R5,IF($E5=AJ$1,$S5,AJ4))</f>
        <v/>
      </c>
      <c r="AK5" s="15">
        <f>IF($D5=AK$1,$R5,IF($E5=AK$1,$S5,AK4))</f>
        <v/>
      </c>
      <c r="AL5" s="15">
        <f>IF($D5=AL$1,$R5,IF($E5=AL$1,$S5,AL4))</f>
        <v/>
      </c>
      <c r="AM5" s="15">
        <f>IF($D5=AM$1,$R5,IF($E5=AM$1,$S5,AM4))</f>
        <v/>
      </c>
      <c r="AN5" s="15">
        <f>IF($D5=AN$1,$R5,IF($E5=AN$1,$S5,AN4))</f>
        <v/>
      </c>
      <c r="AO5" s="15">
        <f>IF($D5=AO$1,$R5,IF($E5=AO$1,$S5,AO4))</f>
        <v/>
      </c>
      <c r="AP5" s="15">
        <f>IF($D5=AP$1,$R5,IF($E5=AP$1,$S5,AP4))</f>
        <v/>
      </c>
      <c r="AQ5" s="15">
        <f>IF($D5=AQ$1,$R5,IF($E5=AQ$1,$S5,AQ4))</f>
        <v/>
      </c>
      <c r="AR5" s="15">
        <f>IF($D5=AR$1,$R5,IF($E5=AR$1,$S5,AR4))</f>
        <v/>
      </c>
      <c r="AS5" s="15">
        <f>IF($D5=AS$1,$R5,IF($E5=AS$1,$S5,AS4))</f>
        <v/>
      </c>
      <c r="AT5" s="15">
        <f>IF($D5=AT$1,$R5,IF($E5=AT$1,$S5,AT4))</f>
        <v/>
      </c>
      <c r="AU5" s="15">
        <f>IF($D5=AU$1,$R5,IF($E5=AU$1,$S5,AU4))</f>
        <v/>
      </c>
      <c r="AV5" s="15">
        <f>IF($D5=AV$1,$R5,IF($E5=AV$1,$S5,AV4))</f>
        <v/>
      </c>
      <c r="AW5" s="15">
        <f>IF($D5=AW$1,$R5,IF($E5=AW$1,$S5,AW4))</f>
        <v/>
      </c>
      <c r="AX5" s="15">
        <f>IF($D5=AX$1,$R5,IF($E5=AX$1,$S5,AX4))</f>
        <v/>
      </c>
      <c r="AY5" s="15">
        <f>IF($D5=AY$1,$R5,IF($E5=AY$1,$S5,AY4))</f>
        <v/>
      </c>
      <c r="AZ5" s="15">
        <f>IF($D5=AZ$1,$R5,IF($E5=AZ$1,$S5,AZ4))</f>
        <v/>
      </c>
      <c r="BA5" s="15">
        <f>IF($D5=BA$1,$R5,IF($E5=BA$1,$S5,BA4))</f>
        <v/>
      </c>
      <c r="BB5" s="15">
        <f>IF($D5=BB$1,$R5,IF($E5=BB$1,$S5,BB4))</f>
        <v/>
      </c>
      <c r="BC5" s="15">
        <f>IF($D5=BC$1,$R5,IF($E5=BC$1,$S5,BC4))</f>
        <v/>
      </c>
      <c r="BD5" s="15">
        <f>IF($D5=BD$1,$R5,IF($E5=BD$1,$S5,BD4))</f>
        <v/>
      </c>
      <c r="BE5" s="15">
        <f>IF($D5=BE$1,$R5,IF($E5=BE$1,$S5,BE4))</f>
        <v/>
      </c>
      <c r="BF5" s="15">
        <f>IF($D5=BF$1,$R5,IF($E5=BF$1,$S5,BF4))</f>
        <v/>
      </c>
      <c r="BG5" s="15">
        <f>IF($D5=BG$1,$R5,IF($E5=BG$1,$S5,BG4))</f>
        <v/>
      </c>
      <c r="BH5" s="15">
        <f>IF($D5=BH$1,$R5,IF($E5=BH$1,$S5,BH4))</f>
        <v/>
      </c>
      <c r="BI5" s="15">
        <f>IF($D5=BI$1,$R5,IF($E5=BI$1,$S5,BI4))</f>
        <v/>
      </c>
      <c r="BJ5" s="15">
        <f>IF($D5=BJ$1,$R5,IF($E5=BJ$1,$S5,BJ4))</f>
        <v/>
      </c>
      <c r="BK5" s="15">
        <f>IF($D5=BK$1,$R5,IF($E5=BK$1,$S5,BK4))</f>
        <v/>
      </c>
      <c r="BL5" s="15">
        <f>IF($D5=BL$1,$R5,IF($E5=BL$1,$S5,BL4))</f>
        <v/>
      </c>
      <c r="BM5" s="15">
        <f>IF($D5=BM$1,$R5,IF($E5=BM$1,$S5,BM4))</f>
        <v/>
      </c>
      <c r="BN5" s="15">
        <f>IF($D5=BN$1,$R5,IF($E5=BN$1,$S5,BN4))</f>
        <v/>
      </c>
      <c r="BO5" s="15">
        <f>IF($D5=BO$1,$R5,IF($E5=BO$1,$S5,BO4))</f>
        <v/>
      </c>
      <c r="BP5" s="15">
        <f>IF($D5=BP$1,$R5,IF($E5=BP$1,$S5,BP4))</f>
        <v/>
      </c>
      <c r="BQ5" s="15">
        <f>IF($D5=BQ$1,$R5,IF($E5=BQ$1,$S5,BQ4))</f>
        <v/>
      </c>
      <c r="BR5" s="15">
        <f>IF($D5=BR$1,$R5,IF($E5=BR$1,$S5,BR4))</f>
        <v/>
      </c>
      <c r="BS5" s="15">
        <f>IF($D5=BS$1,$R5,IF($E5=BS$1,$S5,BS4))</f>
        <v/>
      </c>
      <c r="BT5" s="15">
        <f>IF($D5=BT$1,$R5,IF($E5=BT$1,$S5,BT4))</f>
        <v/>
      </c>
      <c r="BU5" s="15">
        <f>IF($D5=BU$1,$R5,IF($E5=BU$1,$S5,BU4))</f>
        <v/>
      </c>
      <c r="BV5" s="15">
        <f>IF($D5=BV$1,$R5,IF($E5=BV$1,$S5,BV4))</f>
        <v/>
      </c>
      <c r="BW5" s="15">
        <f>IF($D5=BW$1,$R5,IF($E5=BW$1,$S5,BW4))</f>
        <v/>
      </c>
      <c r="BX5" s="15">
        <f>IF($D5=BX$1,$R5,IF($E5=BX$1,$S5,BX4))</f>
        <v/>
      </c>
      <c r="BY5" s="15">
        <f>IF($D5=BY$1,$R5,IF($E5=BY$1,$S5,BY4))</f>
        <v/>
      </c>
      <c r="BZ5" s="15">
        <f>IF($D5=BZ$1,$R5,IF($E5=BZ$1,$S5,BZ4))</f>
        <v/>
      </c>
    </row>
    <row r="6" ht="15" customHeight="1">
      <c r="A6" s="7">
        <f>Fixture!A5</f>
        <v/>
      </c>
      <c r="B6" s="7">
        <f>Fixture!B5</f>
        <v/>
      </c>
      <c r="C6" s="7">
        <f>Fixture!C5</f>
        <v/>
      </c>
      <c r="D6" s="7">
        <f>Fixture!E5</f>
        <v/>
      </c>
      <c r="E6" s="7">
        <f>Fixture!F5</f>
        <v/>
      </c>
      <c r="F6" s="7">
        <f>Fixture!J5</f>
        <v/>
      </c>
      <c r="G6" s="7">
        <f>Fixture!K5</f>
        <v/>
      </c>
      <c r="H6" s="7">
        <f>IF(ISNUMBER(Resultados!B5),1,0)</f>
        <v/>
      </c>
      <c r="I6" s="7">
        <f>IF($H6=1,Resultados!B5,0)</f>
        <v/>
      </c>
      <c r="J6" s="7">
        <f>IF($H6=1,Resultados!C5,0)</f>
        <v/>
      </c>
      <c r="K6" s="12">
        <f>IFERROR(INDEX($AE5:$BZ5,MATCH($D6,$AE$1:$BZ$1,0)),"")</f>
        <v/>
      </c>
      <c r="L6" s="12">
        <f>IFERROR(INDEX($AE5:$BZ5,MATCH($E6,$AE$1:$BZ$1,0)),"")</f>
        <v/>
      </c>
      <c r="M6" s="12">
        <f>IF(OR($K6="",$L6=""),"",($K6+100*$F6)-($L6+100*$G6))</f>
        <v/>
      </c>
      <c r="N6" s="13">
        <f>IF($M6="","",1/(1+10^(-$M6/400)))</f>
        <v/>
      </c>
      <c r="O6" s="7">
        <f>IF(OR($H6=0,$N6=""),"",IF($I6&gt;$J6,1,IF($I6=$J6,0.5,0)))</f>
        <v/>
      </c>
      <c r="P6" s="14">
        <f>IF($O6="","",IF(ABS($I6-$J6)&lt;=1,1,IF(ABS($I6-$J6)=2,1.5,IF(ABS($I6-$J6)=3,1.75,1.75+(ABS($I6-$J6)-3)/8))))</f>
        <v/>
      </c>
      <c r="Q6" s="14">
        <f>IF($O6="",0,Equipos!$O$4*$P6*($O6-$N6))</f>
        <v/>
      </c>
      <c r="R6" s="12">
        <f>IF($K6="","",$K6+$Q6)</f>
        <v/>
      </c>
      <c r="S6" s="12">
        <f>IF($L6="","",$L6-$Q6)</f>
        <v/>
      </c>
      <c r="T6" s="14">
        <f>IF($M6="","",Equipos!$O$3*$M6)</f>
        <v/>
      </c>
      <c r="U6" s="14">
        <f>IFERROR(VLOOKUP($D6,Equipos!$A:$H,6,0),"")</f>
        <v/>
      </c>
      <c r="V6" s="14">
        <f>IFERROR(VLOOKUP($D6,Equipos!$A:$H,7,0),"")</f>
        <v/>
      </c>
      <c r="W6" s="14">
        <f>IFERROR(VLOOKUP($E6,Equipos!$A:$H,6,0),"")</f>
        <v/>
      </c>
      <c r="X6" s="14">
        <f>IFERROR(VLOOKUP($E6,Equipos!$A:$H,7,0),"")</f>
        <v/>
      </c>
      <c r="Y6" s="14">
        <f>IF(OR($U6="",$W6=""),"",MIN(3.6,MAX(1.8,Equipos!$O$2*SQRT($U6*$W6*$V6*$X6))))</f>
        <v/>
      </c>
      <c r="Z6" s="14">
        <f>IF(OR($Y6="",$T6=""),"",MAX(0.2,($Y6+$T6)/2))</f>
        <v/>
      </c>
      <c r="AA6" s="14">
        <f>IF(OR($Y6="",$T6=""),"",MAX(0.2,($Y6-$T6)/2))</f>
        <v/>
      </c>
      <c r="AE6" s="15">
        <f>IF($D6=AE$1,$R6,IF($E6=AE$1,$S6,AE5))</f>
        <v/>
      </c>
      <c r="AF6" s="15">
        <f>IF($D6=AF$1,$R6,IF($E6=AF$1,$S6,AF5))</f>
        <v/>
      </c>
      <c r="AG6" s="15">
        <f>IF($D6=AG$1,$R6,IF($E6=AG$1,$S6,AG5))</f>
        <v/>
      </c>
      <c r="AH6" s="15">
        <f>IF($D6=AH$1,$R6,IF($E6=AH$1,$S6,AH5))</f>
        <v/>
      </c>
      <c r="AI6" s="15">
        <f>IF($D6=AI$1,$R6,IF($E6=AI$1,$S6,AI5))</f>
        <v/>
      </c>
      <c r="AJ6" s="15">
        <f>IF($D6=AJ$1,$R6,IF($E6=AJ$1,$S6,AJ5))</f>
        <v/>
      </c>
      <c r="AK6" s="15">
        <f>IF($D6=AK$1,$R6,IF($E6=AK$1,$S6,AK5))</f>
        <v/>
      </c>
      <c r="AL6" s="15">
        <f>IF($D6=AL$1,$R6,IF($E6=AL$1,$S6,AL5))</f>
        <v/>
      </c>
      <c r="AM6" s="15">
        <f>IF($D6=AM$1,$R6,IF($E6=AM$1,$S6,AM5))</f>
        <v/>
      </c>
      <c r="AN6" s="15">
        <f>IF($D6=AN$1,$R6,IF($E6=AN$1,$S6,AN5))</f>
        <v/>
      </c>
      <c r="AO6" s="15">
        <f>IF($D6=AO$1,$R6,IF($E6=AO$1,$S6,AO5))</f>
        <v/>
      </c>
      <c r="AP6" s="15">
        <f>IF($D6=AP$1,$R6,IF($E6=AP$1,$S6,AP5))</f>
        <v/>
      </c>
      <c r="AQ6" s="15">
        <f>IF($D6=AQ$1,$R6,IF($E6=AQ$1,$S6,AQ5))</f>
        <v/>
      </c>
      <c r="AR6" s="15">
        <f>IF($D6=AR$1,$R6,IF($E6=AR$1,$S6,AR5))</f>
        <v/>
      </c>
      <c r="AS6" s="15">
        <f>IF($D6=AS$1,$R6,IF($E6=AS$1,$S6,AS5))</f>
        <v/>
      </c>
      <c r="AT6" s="15">
        <f>IF($D6=AT$1,$R6,IF($E6=AT$1,$S6,AT5))</f>
        <v/>
      </c>
      <c r="AU6" s="15">
        <f>IF($D6=AU$1,$R6,IF($E6=AU$1,$S6,AU5))</f>
        <v/>
      </c>
      <c r="AV6" s="15">
        <f>IF($D6=AV$1,$R6,IF($E6=AV$1,$S6,AV5))</f>
        <v/>
      </c>
      <c r="AW6" s="15">
        <f>IF($D6=AW$1,$R6,IF($E6=AW$1,$S6,AW5))</f>
        <v/>
      </c>
      <c r="AX6" s="15">
        <f>IF($D6=AX$1,$R6,IF($E6=AX$1,$S6,AX5))</f>
        <v/>
      </c>
      <c r="AY6" s="15">
        <f>IF($D6=AY$1,$R6,IF($E6=AY$1,$S6,AY5))</f>
        <v/>
      </c>
      <c r="AZ6" s="15">
        <f>IF($D6=AZ$1,$R6,IF($E6=AZ$1,$S6,AZ5))</f>
        <v/>
      </c>
      <c r="BA6" s="15">
        <f>IF($D6=BA$1,$R6,IF($E6=BA$1,$S6,BA5))</f>
        <v/>
      </c>
      <c r="BB6" s="15">
        <f>IF($D6=BB$1,$R6,IF($E6=BB$1,$S6,BB5))</f>
        <v/>
      </c>
      <c r="BC6" s="15">
        <f>IF($D6=BC$1,$R6,IF($E6=BC$1,$S6,BC5))</f>
        <v/>
      </c>
      <c r="BD6" s="15">
        <f>IF($D6=BD$1,$R6,IF($E6=BD$1,$S6,BD5))</f>
        <v/>
      </c>
      <c r="BE6" s="15">
        <f>IF($D6=BE$1,$R6,IF($E6=BE$1,$S6,BE5))</f>
        <v/>
      </c>
      <c r="BF6" s="15">
        <f>IF($D6=BF$1,$R6,IF($E6=BF$1,$S6,BF5))</f>
        <v/>
      </c>
      <c r="BG6" s="15">
        <f>IF($D6=BG$1,$R6,IF($E6=BG$1,$S6,BG5))</f>
        <v/>
      </c>
      <c r="BH6" s="15">
        <f>IF($D6=BH$1,$R6,IF($E6=BH$1,$S6,BH5))</f>
        <v/>
      </c>
      <c r="BI6" s="15">
        <f>IF($D6=BI$1,$R6,IF($E6=BI$1,$S6,BI5))</f>
        <v/>
      </c>
      <c r="BJ6" s="15">
        <f>IF($D6=BJ$1,$R6,IF($E6=BJ$1,$S6,BJ5))</f>
        <v/>
      </c>
      <c r="BK6" s="15">
        <f>IF($D6=BK$1,$R6,IF($E6=BK$1,$S6,BK5))</f>
        <v/>
      </c>
      <c r="BL6" s="15">
        <f>IF($D6=BL$1,$R6,IF($E6=BL$1,$S6,BL5))</f>
        <v/>
      </c>
      <c r="BM6" s="15">
        <f>IF($D6=BM$1,$R6,IF($E6=BM$1,$S6,BM5))</f>
        <v/>
      </c>
      <c r="BN6" s="15">
        <f>IF($D6=BN$1,$R6,IF($E6=BN$1,$S6,BN5))</f>
        <v/>
      </c>
      <c r="BO6" s="15">
        <f>IF($D6=BO$1,$R6,IF($E6=BO$1,$S6,BO5))</f>
        <v/>
      </c>
      <c r="BP6" s="15">
        <f>IF($D6=BP$1,$R6,IF($E6=BP$1,$S6,BP5))</f>
        <v/>
      </c>
      <c r="BQ6" s="15">
        <f>IF($D6=BQ$1,$R6,IF($E6=BQ$1,$S6,BQ5))</f>
        <v/>
      </c>
      <c r="BR6" s="15">
        <f>IF($D6=BR$1,$R6,IF($E6=BR$1,$S6,BR5))</f>
        <v/>
      </c>
      <c r="BS6" s="15">
        <f>IF($D6=BS$1,$R6,IF($E6=BS$1,$S6,BS5))</f>
        <v/>
      </c>
      <c r="BT6" s="15">
        <f>IF($D6=BT$1,$R6,IF($E6=BT$1,$S6,BT5))</f>
        <v/>
      </c>
      <c r="BU6" s="15">
        <f>IF($D6=BU$1,$R6,IF($E6=BU$1,$S6,BU5))</f>
        <v/>
      </c>
      <c r="BV6" s="15">
        <f>IF($D6=BV$1,$R6,IF($E6=BV$1,$S6,BV5))</f>
        <v/>
      </c>
      <c r="BW6" s="15">
        <f>IF($D6=BW$1,$R6,IF($E6=BW$1,$S6,BW5))</f>
        <v/>
      </c>
      <c r="BX6" s="15">
        <f>IF($D6=BX$1,$R6,IF($E6=BX$1,$S6,BX5))</f>
        <v/>
      </c>
      <c r="BY6" s="15">
        <f>IF($D6=BY$1,$R6,IF($E6=BY$1,$S6,BY5))</f>
        <v/>
      </c>
      <c r="BZ6" s="15">
        <f>IF($D6=BZ$1,$R6,IF($E6=BZ$1,$S6,BZ5))</f>
        <v/>
      </c>
    </row>
    <row r="7" ht="15" customHeight="1">
      <c r="A7" s="7">
        <f>Fixture!A6</f>
        <v/>
      </c>
      <c r="B7" s="7">
        <f>Fixture!B6</f>
        <v/>
      </c>
      <c r="C7" s="7">
        <f>Fixture!C6</f>
        <v/>
      </c>
      <c r="D7" s="7">
        <f>Fixture!E6</f>
        <v/>
      </c>
      <c r="E7" s="7">
        <f>Fixture!F6</f>
        <v/>
      </c>
      <c r="F7" s="7">
        <f>Fixture!J6</f>
        <v/>
      </c>
      <c r="G7" s="7">
        <f>Fixture!K6</f>
        <v/>
      </c>
      <c r="H7" s="7">
        <f>IF(ISNUMBER(Resultados!B6),1,0)</f>
        <v/>
      </c>
      <c r="I7" s="7">
        <f>IF($H7=1,Resultados!B6,0)</f>
        <v/>
      </c>
      <c r="J7" s="7">
        <f>IF($H7=1,Resultados!C6,0)</f>
        <v/>
      </c>
      <c r="K7" s="12">
        <f>IFERROR(INDEX($AE6:$BZ6,MATCH($D7,$AE$1:$BZ$1,0)),"")</f>
        <v/>
      </c>
      <c r="L7" s="12">
        <f>IFERROR(INDEX($AE6:$BZ6,MATCH($E7,$AE$1:$BZ$1,0)),"")</f>
        <v/>
      </c>
      <c r="M7" s="12">
        <f>IF(OR($K7="",$L7=""),"",($K7+100*$F7)-($L7+100*$G7))</f>
        <v/>
      </c>
      <c r="N7" s="13">
        <f>IF($M7="","",1/(1+10^(-$M7/400)))</f>
        <v/>
      </c>
      <c r="O7" s="7">
        <f>IF(OR($H7=0,$N7=""),"",IF($I7&gt;$J7,1,IF($I7=$J7,0.5,0)))</f>
        <v/>
      </c>
      <c r="P7" s="14">
        <f>IF($O7="","",IF(ABS($I7-$J7)&lt;=1,1,IF(ABS($I7-$J7)=2,1.5,IF(ABS($I7-$J7)=3,1.75,1.75+(ABS($I7-$J7)-3)/8))))</f>
        <v/>
      </c>
      <c r="Q7" s="14">
        <f>IF($O7="",0,Equipos!$O$4*$P7*($O7-$N7))</f>
        <v/>
      </c>
      <c r="R7" s="12">
        <f>IF($K7="","",$K7+$Q7)</f>
        <v/>
      </c>
      <c r="S7" s="12">
        <f>IF($L7="","",$L7-$Q7)</f>
        <v/>
      </c>
      <c r="T7" s="14">
        <f>IF($M7="","",Equipos!$O$3*$M7)</f>
        <v/>
      </c>
      <c r="U7" s="14">
        <f>IFERROR(VLOOKUP($D7,Equipos!$A:$H,6,0),"")</f>
        <v/>
      </c>
      <c r="V7" s="14">
        <f>IFERROR(VLOOKUP($D7,Equipos!$A:$H,7,0),"")</f>
        <v/>
      </c>
      <c r="W7" s="14">
        <f>IFERROR(VLOOKUP($E7,Equipos!$A:$H,6,0),"")</f>
        <v/>
      </c>
      <c r="X7" s="14">
        <f>IFERROR(VLOOKUP($E7,Equipos!$A:$H,7,0),"")</f>
        <v/>
      </c>
      <c r="Y7" s="14">
        <f>IF(OR($U7="",$W7=""),"",MIN(3.6,MAX(1.8,Equipos!$O$2*SQRT($U7*$W7*$V7*$X7))))</f>
        <v/>
      </c>
      <c r="Z7" s="14">
        <f>IF(OR($Y7="",$T7=""),"",MAX(0.2,($Y7+$T7)/2))</f>
        <v/>
      </c>
      <c r="AA7" s="14">
        <f>IF(OR($Y7="",$T7=""),"",MAX(0.2,($Y7-$T7)/2))</f>
        <v/>
      </c>
      <c r="AE7" s="15">
        <f>IF($D7=AE$1,$R7,IF($E7=AE$1,$S7,AE6))</f>
        <v/>
      </c>
      <c r="AF7" s="15">
        <f>IF($D7=AF$1,$R7,IF($E7=AF$1,$S7,AF6))</f>
        <v/>
      </c>
      <c r="AG7" s="15">
        <f>IF($D7=AG$1,$R7,IF($E7=AG$1,$S7,AG6))</f>
        <v/>
      </c>
      <c r="AH7" s="15">
        <f>IF($D7=AH$1,$R7,IF($E7=AH$1,$S7,AH6))</f>
        <v/>
      </c>
      <c r="AI7" s="15">
        <f>IF($D7=AI$1,$R7,IF($E7=AI$1,$S7,AI6))</f>
        <v/>
      </c>
      <c r="AJ7" s="15">
        <f>IF($D7=AJ$1,$R7,IF($E7=AJ$1,$S7,AJ6))</f>
        <v/>
      </c>
      <c r="AK7" s="15">
        <f>IF($D7=AK$1,$R7,IF($E7=AK$1,$S7,AK6))</f>
        <v/>
      </c>
      <c r="AL7" s="15">
        <f>IF($D7=AL$1,$R7,IF($E7=AL$1,$S7,AL6))</f>
        <v/>
      </c>
      <c r="AM7" s="15">
        <f>IF($D7=AM$1,$R7,IF($E7=AM$1,$S7,AM6))</f>
        <v/>
      </c>
      <c r="AN7" s="15">
        <f>IF($D7=AN$1,$R7,IF($E7=AN$1,$S7,AN6))</f>
        <v/>
      </c>
      <c r="AO7" s="15">
        <f>IF($D7=AO$1,$R7,IF($E7=AO$1,$S7,AO6))</f>
        <v/>
      </c>
      <c r="AP7" s="15">
        <f>IF($D7=AP$1,$R7,IF($E7=AP$1,$S7,AP6))</f>
        <v/>
      </c>
      <c r="AQ7" s="15">
        <f>IF($D7=AQ$1,$R7,IF($E7=AQ$1,$S7,AQ6))</f>
        <v/>
      </c>
      <c r="AR7" s="15">
        <f>IF($D7=AR$1,$R7,IF($E7=AR$1,$S7,AR6))</f>
        <v/>
      </c>
      <c r="AS7" s="15">
        <f>IF($D7=AS$1,$R7,IF($E7=AS$1,$S7,AS6))</f>
        <v/>
      </c>
      <c r="AT7" s="15">
        <f>IF($D7=AT$1,$R7,IF($E7=AT$1,$S7,AT6))</f>
        <v/>
      </c>
      <c r="AU7" s="15">
        <f>IF($D7=AU$1,$R7,IF($E7=AU$1,$S7,AU6))</f>
        <v/>
      </c>
      <c r="AV7" s="15">
        <f>IF($D7=AV$1,$R7,IF($E7=AV$1,$S7,AV6))</f>
        <v/>
      </c>
      <c r="AW7" s="15">
        <f>IF($D7=AW$1,$R7,IF($E7=AW$1,$S7,AW6))</f>
        <v/>
      </c>
      <c r="AX7" s="15">
        <f>IF($D7=AX$1,$R7,IF($E7=AX$1,$S7,AX6))</f>
        <v/>
      </c>
      <c r="AY7" s="15">
        <f>IF($D7=AY$1,$R7,IF($E7=AY$1,$S7,AY6))</f>
        <v/>
      </c>
      <c r="AZ7" s="15">
        <f>IF($D7=AZ$1,$R7,IF($E7=AZ$1,$S7,AZ6))</f>
        <v/>
      </c>
      <c r="BA7" s="15">
        <f>IF($D7=BA$1,$R7,IF($E7=BA$1,$S7,BA6))</f>
        <v/>
      </c>
      <c r="BB7" s="15">
        <f>IF($D7=BB$1,$R7,IF($E7=BB$1,$S7,BB6))</f>
        <v/>
      </c>
      <c r="BC7" s="15">
        <f>IF($D7=BC$1,$R7,IF($E7=BC$1,$S7,BC6))</f>
        <v/>
      </c>
      <c r="BD7" s="15">
        <f>IF($D7=BD$1,$R7,IF($E7=BD$1,$S7,BD6))</f>
        <v/>
      </c>
      <c r="BE7" s="15">
        <f>IF($D7=BE$1,$R7,IF($E7=BE$1,$S7,BE6))</f>
        <v/>
      </c>
      <c r="BF7" s="15">
        <f>IF($D7=BF$1,$R7,IF($E7=BF$1,$S7,BF6))</f>
        <v/>
      </c>
      <c r="BG7" s="15">
        <f>IF($D7=BG$1,$R7,IF($E7=BG$1,$S7,BG6))</f>
        <v/>
      </c>
      <c r="BH7" s="15">
        <f>IF($D7=BH$1,$R7,IF($E7=BH$1,$S7,BH6))</f>
        <v/>
      </c>
      <c r="BI7" s="15">
        <f>IF($D7=BI$1,$R7,IF($E7=BI$1,$S7,BI6))</f>
        <v/>
      </c>
      <c r="BJ7" s="15">
        <f>IF($D7=BJ$1,$R7,IF($E7=BJ$1,$S7,BJ6))</f>
        <v/>
      </c>
      <c r="BK7" s="15">
        <f>IF($D7=BK$1,$R7,IF($E7=BK$1,$S7,BK6))</f>
        <v/>
      </c>
      <c r="BL7" s="15">
        <f>IF($D7=BL$1,$R7,IF($E7=BL$1,$S7,BL6))</f>
        <v/>
      </c>
      <c r="BM7" s="15">
        <f>IF($D7=BM$1,$R7,IF($E7=BM$1,$S7,BM6))</f>
        <v/>
      </c>
      <c r="BN7" s="15">
        <f>IF($D7=BN$1,$R7,IF($E7=BN$1,$S7,BN6))</f>
        <v/>
      </c>
      <c r="BO7" s="15">
        <f>IF($D7=BO$1,$R7,IF($E7=BO$1,$S7,BO6))</f>
        <v/>
      </c>
      <c r="BP7" s="15">
        <f>IF($D7=BP$1,$R7,IF($E7=BP$1,$S7,BP6))</f>
        <v/>
      </c>
      <c r="BQ7" s="15">
        <f>IF($D7=BQ$1,$R7,IF($E7=BQ$1,$S7,BQ6))</f>
        <v/>
      </c>
      <c r="BR7" s="15">
        <f>IF($D7=BR$1,$R7,IF($E7=BR$1,$S7,BR6))</f>
        <v/>
      </c>
      <c r="BS7" s="15">
        <f>IF($D7=BS$1,$R7,IF($E7=BS$1,$S7,BS6))</f>
        <v/>
      </c>
      <c r="BT7" s="15">
        <f>IF($D7=BT$1,$R7,IF($E7=BT$1,$S7,BT6))</f>
        <v/>
      </c>
      <c r="BU7" s="15">
        <f>IF($D7=BU$1,$R7,IF($E7=BU$1,$S7,BU6))</f>
        <v/>
      </c>
      <c r="BV7" s="15">
        <f>IF($D7=BV$1,$R7,IF($E7=BV$1,$S7,BV6))</f>
        <v/>
      </c>
      <c r="BW7" s="15">
        <f>IF($D7=BW$1,$R7,IF($E7=BW$1,$S7,BW6))</f>
        <v/>
      </c>
      <c r="BX7" s="15">
        <f>IF($D7=BX$1,$R7,IF($E7=BX$1,$S7,BX6))</f>
        <v/>
      </c>
      <c r="BY7" s="15">
        <f>IF($D7=BY$1,$R7,IF($E7=BY$1,$S7,BY6))</f>
        <v/>
      </c>
      <c r="BZ7" s="15">
        <f>IF($D7=BZ$1,$R7,IF($E7=BZ$1,$S7,BZ6))</f>
        <v/>
      </c>
    </row>
    <row r="8" ht="15" customHeight="1">
      <c r="A8" s="7">
        <f>Fixture!A7</f>
        <v/>
      </c>
      <c r="B8" s="7">
        <f>Fixture!B7</f>
        <v/>
      </c>
      <c r="C8" s="7">
        <f>Fixture!C7</f>
        <v/>
      </c>
      <c r="D8" s="7">
        <f>Fixture!E7</f>
        <v/>
      </c>
      <c r="E8" s="7">
        <f>Fixture!F7</f>
        <v/>
      </c>
      <c r="F8" s="7">
        <f>Fixture!J7</f>
        <v/>
      </c>
      <c r="G8" s="7">
        <f>Fixture!K7</f>
        <v/>
      </c>
      <c r="H8" s="7">
        <f>IF(ISNUMBER(Resultados!B7),1,0)</f>
        <v/>
      </c>
      <c r="I8" s="7">
        <f>IF($H8=1,Resultados!B7,0)</f>
        <v/>
      </c>
      <c r="J8" s="7">
        <f>IF($H8=1,Resultados!C7,0)</f>
        <v/>
      </c>
      <c r="K8" s="12">
        <f>IFERROR(INDEX($AE7:$BZ7,MATCH($D8,$AE$1:$BZ$1,0)),"")</f>
        <v/>
      </c>
      <c r="L8" s="12">
        <f>IFERROR(INDEX($AE7:$BZ7,MATCH($E8,$AE$1:$BZ$1,0)),"")</f>
        <v/>
      </c>
      <c r="M8" s="12">
        <f>IF(OR($K8="",$L8=""),"",($K8+100*$F8)-($L8+100*$G8))</f>
        <v/>
      </c>
      <c r="N8" s="13">
        <f>IF($M8="","",1/(1+10^(-$M8/400)))</f>
        <v/>
      </c>
      <c r="O8" s="7">
        <f>IF(OR($H8=0,$N8=""),"",IF($I8&gt;$J8,1,IF($I8=$J8,0.5,0)))</f>
        <v/>
      </c>
      <c r="P8" s="14">
        <f>IF($O8="","",IF(ABS($I8-$J8)&lt;=1,1,IF(ABS($I8-$J8)=2,1.5,IF(ABS($I8-$J8)=3,1.75,1.75+(ABS($I8-$J8)-3)/8))))</f>
        <v/>
      </c>
      <c r="Q8" s="14">
        <f>IF($O8="",0,Equipos!$O$4*$P8*($O8-$N8))</f>
        <v/>
      </c>
      <c r="R8" s="12">
        <f>IF($K8="","",$K8+$Q8)</f>
        <v/>
      </c>
      <c r="S8" s="12">
        <f>IF($L8="","",$L8-$Q8)</f>
        <v/>
      </c>
      <c r="T8" s="14">
        <f>IF($M8="","",Equipos!$O$3*$M8)</f>
        <v/>
      </c>
      <c r="U8" s="14">
        <f>IFERROR(VLOOKUP($D8,Equipos!$A:$H,6,0),"")</f>
        <v/>
      </c>
      <c r="V8" s="14">
        <f>IFERROR(VLOOKUP($D8,Equipos!$A:$H,7,0),"")</f>
        <v/>
      </c>
      <c r="W8" s="14">
        <f>IFERROR(VLOOKUP($E8,Equipos!$A:$H,6,0),"")</f>
        <v/>
      </c>
      <c r="X8" s="14">
        <f>IFERROR(VLOOKUP($E8,Equipos!$A:$H,7,0),"")</f>
        <v/>
      </c>
      <c r="Y8" s="14">
        <f>IF(OR($U8="",$W8=""),"",MIN(3.6,MAX(1.8,Equipos!$O$2*SQRT($U8*$W8*$V8*$X8))))</f>
        <v/>
      </c>
      <c r="Z8" s="14">
        <f>IF(OR($Y8="",$T8=""),"",MAX(0.2,($Y8+$T8)/2))</f>
        <v/>
      </c>
      <c r="AA8" s="14">
        <f>IF(OR($Y8="",$T8=""),"",MAX(0.2,($Y8-$T8)/2))</f>
        <v/>
      </c>
      <c r="AE8" s="15">
        <f>IF($D8=AE$1,$R8,IF($E8=AE$1,$S8,AE7))</f>
        <v/>
      </c>
      <c r="AF8" s="15">
        <f>IF($D8=AF$1,$R8,IF($E8=AF$1,$S8,AF7))</f>
        <v/>
      </c>
      <c r="AG8" s="15">
        <f>IF($D8=AG$1,$R8,IF($E8=AG$1,$S8,AG7))</f>
        <v/>
      </c>
      <c r="AH8" s="15">
        <f>IF($D8=AH$1,$R8,IF($E8=AH$1,$S8,AH7))</f>
        <v/>
      </c>
      <c r="AI8" s="15">
        <f>IF($D8=AI$1,$R8,IF($E8=AI$1,$S8,AI7))</f>
        <v/>
      </c>
      <c r="AJ8" s="15">
        <f>IF($D8=AJ$1,$R8,IF($E8=AJ$1,$S8,AJ7))</f>
        <v/>
      </c>
      <c r="AK8" s="15">
        <f>IF($D8=AK$1,$R8,IF($E8=AK$1,$S8,AK7))</f>
        <v/>
      </c>
      <c r="AL8" s="15">
        <f>IF($D8=AL$1,$R8,IF($E8=AL$1,$S8,AL7))</f>
        <v/>
      </c>
      <c r="AM8" s="15">
        <f>IF($D8=AM$1,$R8,IF($E8=AM$1,$S8,AM7))</f>
        <v/>
      </c>
      <c r="AN8" s="15">
        <f>IF($D8=AN$1,$R8,IF($E8=AN$1,$S8,AN7))</f>
        <v/>
      </c>
      <c r="AO8" s="15">
        <f>IF($D8=AO$1,$R8,IF($E8=AO$1,$S8,AO7))</f>
        <v/>
      </c>
      <c r="AP8" s="15">
        <f>IF($D8=AP$1,$R8,IF($E8=AP$1,$S8,AP7))</f>
        <v/>
      </c>
      <c r="AQ8" s="15">
        <f>IF($D8=AQ$1,$R8,IF($E8=AQ$1,$S8,AQ7))</f>
        <v/>
      </c>
      <c r="AR8" s="15">
        <f>IF($D8=AR$1,$R8,IF($E8=AR$1,$S8,AR7))</f>
        <v/>
      </c>
      <c r="AS8" s="15">
        <f>IF($D8=AS$1,$R8,IF($E8=AS$1,$S8,AS7))</f>
        <v/>
      </c>
      <c r="AT8" s="15">
        <f>IF($D8=AT$1,$R8,IF($E8=AT$1,$S8,AT7))</f>
        <v/>
      </c>
      <c r="AU8" s="15">
        <f>IF($D8=AU$1,$R8,IF($E8=AU$1,$S8,AU7))</f>
        <v/>
      </c>
      <c r="AV8" s="15">
        <f>IF($D8=AV$1,$R8,IF($E8=AV$1,$S8,AV7))</f>
        <v/>
      </c>
      <c r="AW8" s="15">
        <f>IF($D8=AW$1,$R8,IF($E8=AW$1,$S8,AW7))</f>
        <v/>
      </c>
      <c r="AX8" s="15">
        <f>IF($D8=AX$1,$R8,IF($E8=AX$1,$S8,AX7))</f>
        <v/>
      </c>
      <c r="AY8" s="15">
        <f>IF($D8=AY$1,$R8,IF($E8=AY$1,$S8,AY7))</f>
        <v/>
      </c>
      <c r="AZ8" s="15">
        <f>IF($D8=AZ$1,$R8,IF($E8=AZ$1,$S8,AZ7))</f>
        <v/>
      </c>
      <c r="BA8" s="15">
        <f>IF($D8=BA$1,$R8,IF($E8=BA$1,$S8,BA7))</f>
        <v/>
      </c>
      <c r="BB8" s="15">
        <f>IF($D8=BB$1,$R8,IF($E8=BB$1,$S8,BB7))</f>
        <v/>
      </c>
      <c r="BC8" s="15">
        <f>IF($D8=BC$1,$R8,IF($E8=BC$1,$S8,BC7))</f>
        <v/>
      </c>
      <c r="BD8" s="15">
        <f>IF($D8=BD$1,$R8,IF($E8=BD$1,$S8,BD7))</f>
        <v/>
      </c>
      <c r="BE8" s="15">
        <f>IF($D8=BE$1,$R8,IF($E8=BE$1,$S8,BE7))</f>
        <v/>
      </c>
      <c r="BF8" s="15">
        <f>IF($D8=BF$1,$R8,IF($E8=BF$1,$S8,BF7))</f>
        <v/>
      </c>
      <c r="BG8" s="15">
        <f>IF($D8=BG$1,$R8,IF($E8=BG$1,$S8,BG7))</f>
        <v/>
      </c>
      <c r="BH8" s="15">
        <f>IF($D8=BH$1,$R8,IF($E8=BH$1,$S8,BH7))</f>
        <v/>
      </c>
      <c r="BI8" s="15">
        <f>IF($D8=BI$1,$R8,IF($E8=BI$1,$S8,BI7))</f>
        <v/>
      </c>
      <c r="BJ8" s="15">
        <f>IF($D8=BJ$1,$R8,IF($E8=BJ$1,$S8,BJ7))</f>
        <v/>
      </c>
      <c r="BK8" s="15">
        <f>IF($D8=BK$1,$R8,IF($E8=BK$1,$S8,BK7))</f>
        <v/>
      </c>
      <c r="BL8" s="15">
        <f>IF($D8=BL$1,$R8,IF($E8=BL$1,$S8,BL7))</f>
        <v/>
      </c>
      <c r="BM8" s="15">
        <f>IF($D8=BM$1,$R8,IF($E8=BM$1,$S8,BM7))</f>
        <v/>
      </c>
      <c r="BN8" s="15">
        <f>IF($D8=BN$1,$R8,IF($E8=BN$1,$S8,BN7))</f>
        <v/>
      </c>
      <c r="BO8" s="15">
        <f>IF($D8=BO$1,$R8,IF($E8=BO$1,$S8,BO7))</f>
        <v/>
      </c>
      <c r="BP8" s="15">
        <f>IF($D8=BP$1,$R8,IF($E8=BP$1,$S8,BP7))</f>
        <v/>
      </c>
      <c r="BQ8" s="15">
        <f>IF($D8=BQ$1,$R8,IF($E8=BQ$1,$S8,BQ7))</f>
        <v/>
      </c>
      <c r="BR8" s="15">
        <f>IF($D8=BR$1,$R8,IF($E8=BR$1,$S8,BR7))</f>
        <v/>
      </c>
      <c r="BS8" s="15">
        <f>IF($D8=BS$1,$R8,IF($E8=BS$1,$S8,BS7))</f>
        <v/>
      </c>
      <c r="BT8" s="15">
        <f>IF($D8=BT$1,$R8,IF($E8=BT$1,$S8,BT7))</f>
        <v/>
      </c>
      <c r="BU8" s="15">
        <f>IF($D8=BU$1,$R8,IF($E8=BU$1,$S8,BU7))</f>
        <v/>
      </c>
      <c r="BV8" s="15">
        <f>IF($D8=BV$1,$R8,IF($E8=BV$1,$S8,BV7))</f>
        <v/>
      </c>
      <c r="BW8" s="15">
        <f>IF($D8=BW$1,$R8,IF($E8=BW$1,$S8,BW7))</f>
        <v/>
      </c>
      <c r="BX8" s="15">
        <f>IF($D8=BX$1,$R8,IF($E8=BX$1,$S8,BX7))</f>
        <v/>
      </c>
      <c r="BY8" s="15">
        <f>IF($D8=BY$1,$R8,IF($E8=BY$1,$S8,BY7))</f>
        <v/>
      </c>
      <c r="BZ8" s="15">
        <f>IF($D8=BZ$1,$R8,IF($E8=BZ$1,$S8,BZ7))</f>
        <v/>
      </c>
    </row>
    <row r="9" ht="15" customHeight="1">
      <c r="A9" s="7">
        <f>Fixture!A8</f>
        <v/>
      </c>
      <c r="B9" s="7">
        <f>Fixture!B8</f>
        <v/>
      </c>
      <c r="C9" s="7">
        <f>Fixture!C8</f>
        <v/>
      </c>
      <c r="D9" s="7">
        <f>Fixture!E8</f>
        <v/>
      </c>
      <c r="E9" s="7">
        <f>Fixture!F8</f>
        <v/>
      </c>
      <c r="F9" s="7">
        <f>Fixture!J8</f>
        <v/>
      </c>
      <c r="G9" s="7">
        <f>Fixture!K8</f>
        <v/>
      </c>
      <c r="H9" s="7">
        <f>IF(ISNUMBER(Resultados!B8),1,0)</f>
        <v/>
      </c>
      <c r="I9" s="7">
        <f>IF($H9=1,Resultados!B8,0)</f>
        <v/>
      </c>
      <c r="J9" s="7">
        <f>IF($H9=1,Resultados!C8,0)</f>
        <v/>
      </c>
      <c r="K9" s="12">
        <f>IFERROR(INDEX($AE8:$BZ8,MATCH($D9,$AE$1:$BZ$1,0)),"")</f>
        <v/>
      </c>
      <c r="L9" s="12">
        <f>IFERROR(INDEX($AE8:$BZ8,MATCH($E9,$AE$1:$BZ$1,0)),"")</f>
        <v/>
      </c>
      <c r="M9" s="12">
        <f>IF(OR($K9="",$L9=""),"",($K9+100*$F9)-($L9+100*$G9))</f>
        <v/>
      </c>
      <c r="N9" s="13">
        <f>IF($M9="","",1/(1+10^(-$M9/400)))</f>
        <v/>
      </c>
      <c r="O9" s="7">
        <f>IF(OR($H9=0,$N9=""),"",IF($I9&gt;$J9,1,IF($I9=$J9,0.5,0)))</f>
        <v/>
      </c>
      <c r="P9" s="14">
        <f>IF($O9="","",IF(ABS($I9-$J9)&lt;=1,1,IF(ABS($I9-$J9)=2,1.5,IF(ABS($I9-$J9)=3,1.75,1.75+(ABS($I9-$J9)-3)/8))))</f>
        <v/>
      </c>
      <c r="Q9" s="14">
        <f>IF($O9="",0,Equipos!$O$4*$P9*($O9-$N9))</f>
        <v/>
      </c>
      <c r="R9" s="12">
        <f>IF($K9="","",$K9+$Q9)</f>
        <v/>
      </c>
      <c r="S9" s="12">
        <f>IF($L9="","",$L9-$Q9)</f>
        <v/>
      </c>
      <c r="T9" s="14">
        <f>IF($M9="","",Equipos!$O$3*$M9)</f>
        <v/>
      </c>
      <c r="U9" s="14">
        <f>IFERROR(VLOOKUP($D9,Equipos!$A:$H,6,0),"")</f>
        <v/>
      </c>
      <c r="V9" s="14">
        <f>IFERROR(VLOOKUP($D9,Equipos!$A:$H,7,0),"")</f>
        <v/>
      </c>
      <c r="W9" s="14">
        <f>IFERROR(VLOOKUP($E9,Equipos!$A:$H,6,0),"")</f>
        <v/>
      </c>
      <c r="X9" s="14">
        <f>IFERROR(VLOOKUP($E9,Equipos!$A:$H,7,0),"")</f>
        <v/>
      </c>
      <c r="Y9" s="14">
        <f>IF(OR($U9="",$W9=""),"",MIN(3.6,MAX(1.8,Equipos!$O$2*SQRT($U9*$W9*$V9*$X9))))</f>
        <v/>
      </c>
      <c r="Z9" s="14">
        <f>IF(OR($Y9="",$T9=""),"",MAX(0.2,($Y9+$T9)/2))</f>
        <v/>
      </c>
      <c r="AA9" s="14">
        <f>IF(OR($Y9="",$T9=""),"",MAX(0.2,($Y9-$T9)/2))</f>
        <v/>
      </c>
      <c r="AE9" s="15">
        <f>IF($D9=AE$1,$R9,IF($E9=AE$1,$S9,AE8))</f>
        <v/>
      </c>
      <c r="AF9" s="15">
        <f>IF($D9=AF$1,$R9,IF($E9=AF$1,$S9,AF8))</f>
        <v/>
      </c>
      <c r="AG9" s="15">
        <f>IF($D9=AG$1,$R9,IF($E9=AG$1,$S9,AG8))</f>
        <v/>
      </c>
      <c r="AH9" s="15">
        <f>IF($D9=AH$1,$R9,IF($E9=AH$1,$S9,AH8))</f>
        <v/>
      </c>
      <c r="AI9" s="15">
        <f>IF($D9=AI$1,$R9,IF($E9=AI$1,$S9,AI8))</f>
        <v/>
      </c>
      <c r="AJ9" s="15">
        <f>IF($D9=AJ$1,$R9,IF($E9=AJ$1,$S9,AJ8))</f>
        <v/>
      </c>
      <c r="AK9" s="15">
        <f>IF($D9=AK$1,$R9,IF($E9=AK$1,$S9,AK8))</f>
        <v/>
      </c>
      <c r="AL9" s="15">
        <f>IF($D9=AL$1,$R9,IF($E9=AL$1,$S9,AL8))</f>
        <v/>
      </c>
      <c r="AM9" s="15">
        <f>IF($D9=AM$1,$R9,IF($E9=AM$1,$S9,AM8))</f>
        <v/>
      </c>
      <c r="AN9" s="15">
        <f>IF($D9=AN$1,$R9,IF($E9=AN$1,$S9,AN8))</f>
        <v/>
      </c>
      <c r="AO9" s="15">
        <f>IF($D9=AO$1,$R9,IF($E9=AO$1,$S9,AO8))</f>
        <v/>
      </c>
      <c r="AP9" s="15">
        <f>IF($D9=AP$1,$R9,IF($E9=AP$1,$S9,AP8))</f>
        <v/>
      </c>
      <c r="AQ9" s="15">
        <f>IF($D9=AQ$1,$R9,IF($E9=AQ$1,$S9,AQ8))</f>
        <v/>
      </c>
      <c r="AR9" s="15">
        <f>IF($D9=AR$1,$R9,IF($E9=AR$1,$S9,AR8))</f>
        <v/>
      </c>
      <c r="AS9" s="15">
        <f>IF($D9=AS$1,$R9,IF($E9=AS$1,$S9,AS8))</f>
        <v/>
      </c>
      <c r="AT9" s="15">
        <f>IF($D9=AT$1,$R9,IF($E9=AT$1,$S9,AT8))</f>
        <v/>
      </c>
      <c r="AU9" s="15">
        <f>IF($D9=AU$1,$R9,IF($E9=AU$1,$S9,AU8))</f>
        <v/>
      </c>
      <c r="AV9" s="15">
        <f>IF($D9=AV$1,$R9,IF($E9=AV$1,$S9,AV8))</f>
        <v/>
      </c>
      <c r="AW9" s="15">
        <f>IF($D9=AW$1,$R9,IF($E9=AW$1,$S9,AW8))</f>
        <v/>
      </c>
      <c r="AX9" s="15">
        <f>IF($D9=AX$1,$R9,IF($E9=AX$1,$S9,AX8))</f>
        <v/>
      </c>
      <c r="AY9" s="15">
        <f>IF($D9=AY$1,$R9,IF($E9=AY$1,$S9,AY8))</f>
        <v/>
      </c>
      <c r="AZ9" s="15">
        <f>IF($D9=AZ$1,$R9,IF($E9=AZ$1,$S9,AZ8))</f>
        <v/>
      </c>
      <c r="BA9" s="15">
        <f>IF($D9=BA$1,$R9,IF($E9=BA$1,$S9,BA8))</f>
        <v/>
      </c>
      <c r="BB9" s="15">
        <f>IF($D9=BB$1,$R9,IF($E9=BB$1,$S9,BB8))</f>
        <v/>
      </c>
      <c r="BC9" s="15">
        <f>IF($D9=BC$1,$R9,IF($E9=BC$1,$S9,BC8))</f>
        <v/>
      </c>
      <c r="BD9" s="15">
        <f>IF($D9=BD$1,$R9,IF($E9=BD$1,$S9,BD8))</f>
        <v/>
      </c>
      <c r="BE9" s="15">
        <f>IF($D9=BE$1,$R9,IF($E9=BE$1,$S9,BE8))</f>
        <v/>
      </c>
      <c r="BF9" s="15">
        <f>IF($D9=BF$1,$R9,IF($E9=BF$1,$S9,BF8))</f>
        <v/>
      </c>
      <c r="BG9" s="15">
        <f>IF($D9=BG$1,$R9,IF($E9=BG$1,$S9,BG8))</f>
        <v/>
      </c>
      <c r="BH9" s="15">
        <f>IF($D9=BH$1,$R9,IF($E9=BH$1,$S9,BH8))</f>
        <v/>
      </c>
      <c r="BI9" s="15">
        <f>IF($D9=BI$1,$R9,IF($E9=BI$1,$S9,BI8))</f>
        <v/>
      </c>
      <c r="BJ9" s="15">
        <f>IF($D9=BJ$1,$R9,IF($E9=BJ$1,$S9,BJ8))</f>
        <v/>
      </c>
      <c r="BK9" s="15">
        <f>IF($D9=BK$1,$R9,IF($E9=BK$1,$S9,BK8))</f>
        <v/>
      </c>
      <c r="BL9" s="15">
        <f>IF($D9=BL$1,$R9,IF($E9=BL$1,$S9,BL8))</f>
        <v/>
      </c>
      <c r="BM9" s="15">
        <f>IF($D9=BM$1,$R9,IF($E9=BM$1,$S9,BM8))</f>
        <v/>
      </c>
      <c r="BN9" s="15">
        <f>IF($D9=BN$1,$R9,IF($E9=BN$1,$S9,BN8))</f>
        <v/>
      </c>
      <c r="BO9" s="15">
        <f>IF($D9=BO$1,$R9,IF($E9=BO$1,$S9,BO8))</f>
        <v/>
      </c>
      <c r="BP9" s="15">
        <f>IF($D9=BP$1,$R9,IF($E9=BP$1,$S9,BP8))</f>
        <v/>
      </c>
      <c r="BQ9" s="15">
        <f>IF($D9=BQ$1,$R9,IF($E9=BQ$1,$S9,BQ8))</f>
        <v/>
      </c>
      <c r="BR9" s="15">
        <f>IF($D9=BR$1,$R9,IF($E9=BR$1,$S9,BR8))</f>
        <v/>
      </c>
      <c r="BS9" s="15">
        <f>IF($D9=BS$1,$R9,IF($E9=BS$1,$S9,BS8))</f>
        <v/>
      </c>
      <c r="BT9" s="15">
        <f>IF($D9=BT$1,$R9,IF($E9=BT$1,$S9,BT8))</f>
        <v/>
      </c>
      <c r="BU9" s="15">
        <f>IF($D9=BU$1,$R9,IF($E9=BU$1,$S9,BU8))</f>
        <v/>
      </c>
      <c r="BV9" s="15">
        <f>IF($D9=BV$1,$R9,IF($E9=BV$1,$S9,BV8))</f>
        <v/>
      </c>
      <c r="BW9" s="15">
        <f>IF($D9=BW$1,$R9,IF($E9=BW$1,$S9,BW8))</f>
        <v/>
      </c>
      <c r="BX9" s="15">
        <f>IF($D9=BX$1,$R9,IF($E9=BX$1,$S9,BX8))</f>
        <v/>
      </c>
      <c r="BY9" s="15">
        <f>IF($D9=BY$1,$R9,IF($E9=BY$1,$S9,BY8))</f>
        <v/>
      </c>
      <c r="BZ9" s="15">
        <f>IF($D9=BZ$1,$R9,IF($E9=BZ$1,$S9,BZ8))</f>
        <v/>
      </c>
    </row>
    <row r="10" ht="15" customHeight="1">
      <c r="A10" s="7">
        <f>Fixture!A9</f>
        <v/>
      </c>
      <c r="B10" s="7">
        <f>Fixture!B9</f>
        <v/>
      </c>
      <c r="C10" s="7">
        <f>Fixture!C9</f>
        <v/>
      </c>
      <c r="D10" s="7">
        <f>Fixture!E9</f>
        <v/>
      </c>
      <c r="E10" s="7">
        <f>Fixture!F9</f>
        <v/>
      </c>
      <c r="F10" s="7">
        <f>Fixture!J9</f>
        <v/>
      </c>
      <c r="G10" s="7">
        <f>Fixture!K9</f>
        <v/>
      </c>
      <c r="H10" s="7">
        <f>IF(ISNUMBER(Resultados!B9),1,0)</f>
        <v/>
      </c>
      <c r="I10" s="7">
        <f>IF($H10=1,Resultados!B9,0)</f>
        <v/>
      </c>
      <c r="J10" s="7">
        <f>IF($H10=1,Resultados!C9,0)</f>
        <v/>
      </c>
      <c r="K10" s="12">
        <f>IFERROR(INDEX($AE9:$BZ9,MATCH($D10,$AE$1:$BZ$1,0)),"")</f>
        <v/>
      </c>
      <c r="L10" s="12">
        <f>IFERROR(INDEX($AE9:$BZ9,MATCH($E10,$AE$1:$BZ$1,0)),"")</f>
        <v/>
      </c>
      <c r="M10" s="12">
        <f>IF(OR($K10="",$L10=""),"",($K10+100*$F10)-($L10+100*$G10))</f>
        <v/>
      </c>
      <c r="N10" s="13">
        <f>IF($M10="","",1/(1+10^(-$M10/400)))</f>
        <v/>
      </c>
      <c r="O10" s="7">
        <f>IF(OR($H10=0,$N10=""),"",IF($I10&gt;$J10,1,IF($I10=$J10,0.5,0)))</f>
        <v/>
      </c>
      <c r="P10" s="14">
        <f>IF($O10="","",IF(ABS($I10-$J10)&lt;=1,1,IF(ABS($I10-$J10)=2,1.5,IF(ABS($I10-$J10)=3,1.75,1.75+(ABS($I10-$J10)-3)/8))))</f>
        <v/>
      </c>
      <c r="Q10" s="14">
        <f>IF($O10="",0,Equipos!$O$4*$P10*($O10-$N10))</f>
        <v/>
      </c>
      <c r="R10" s="12">
        <f>IF($K10="","",$K10+$Q10)</f>
        <v/>
      </c>
      <c r="S10" s="12">
        <f>IF($L10="","",$L10-$Q10)</f>
        <v/>
      </c>
      <c r="T10" s="14">
        <f>IF($M10="","",Equipos!$O$3*$M10)</f>
        <v/>
      </c>
      <c r="U10" s="14">
        <f>IFERROR(VLOOKUP($D10,Equipos!$A:$H,6,0),"")</f>
        <v/>
      </c>
      <c r="V10" s="14">
        <f>IFERROR(VLOOKUP($D10,Equipos!$A:$H,7,0),"")</f>
        <v/>
      </c>
      <c r="W10" s="14">
        <f>IFERROR(VLOOKUP($E10,Equipos!$A:$H,6,0),"")</f>
        <v/>
      </c>
      <c r="X10" s="14">
        <f>IFERROR(VLOOKUP($E10,Equipos!$A:$H,7,0),"")</f>
        <v/>
      </c>
      <c r="Y10" s="14">
        <f>IF(OR($U10="",$W10=""),"",MIN(3.6,MAX(1.8,Equipos!$O$2*SQRT($U10*$W10*$V10*$X10))))</f>
        <v/>
      </c>
      <c r="Z10" s="14">
        <f>IF(OR($Y10="",$T10=""),"",MAX(0.2,($Y10+$T10)/2))</f>
        <v/>
      </c>
      <c r="AA10" s="14">
        <f>IF(OR($Y10="",$T10=""),"",MAX(0.2,($Y10-$T10)/2))</f>
        <v/>
      </c>
      <c r="AE10" s="15">
        <f>IF($D10=AE$1,$R10,IF($E10=AE$1,$S10,AE9))</f>
        <v/>
      </c>
      <c r="AF10" s="15">
        <f>IF($D10=AF$1,$R10,IF($E10=AF$1,$S10,AF9))</f>
        <v/>
      </c>
      <c r="AG10" s="15">
        <f>IF($D10=AG$1,$R10,IF($E10=AG$1,$S10,AG9))</f>
        <v/>
      </c>
      <c r="AH10" s="15">
        <f>IF($D10=AH$1,$R10,IF($E10=AH$1,$S10,AH9))</f>
        <v/>
      </c>
      <c r="AI10" s="15">
        <f>IF($D10=AI$1,$R10,IF($E10=AI$1,$S10,AI9))</f>
        <v/>
      </c>
      <c r="AJ10" s="15">
        <f>IF($D10=AJ$1,$R10,IF($E10=AJ$1,$S10,AJ9))</f>
        <v/>
      </c>
      <c r="AK10" s="15">
        <f>IF($D10=AK$1,$R10,IF($E10=AK$1,$S10,AK9))</f>
        <v/>
      </c>
      <c r="AL10" s="15">
        <f>IF($D10=AL$1,$R10,IF($E10=AL$1,$S10,AL9))</f>
        <v/>
      </c>
      <c r="AM10" s="15">
        <f>IF($D10=AM$1,$R10,IF($E10=AM$1,$S10,AM9))</f>
        <v/>
      </c>
      <c r="AN10" s="15">
        <f>IF($D10=AN$1,$R10,IF($E10=AN$1,$S10,AN9))</f>
        <v/>
      </c>
      <c r="AO10" s="15">
        <f>IF($D10=AO$1,$R10,IF($E10=AO$1,$S10,AO9))</f>
        <v/>
      </c>
      <c r="AP10" s="15">
        <f>IF($D10=AP$1,$R10,IF($E10=AP$1,$S10,AP9))</f>
        <v/>
      </c>
      <c r="AQ10" s="15">
        <f>IF($D10=AQ$1,$R10,IF($E10=AQ$1,$S10,AQ9))</f>
        <v/>
      </c>
      <c r="AR10" s="15">
        <f>IF($D10=AR$1,$R10,IF($E10=AR$1,$S10,AR9))</f>
        <v/>
      </c>
      <c r="AS10" s="15">
        <f>IF($D10=AS$1,$R10,IF($E10=AS$1,$S10,AS9))</f>
        <v/>
      </c>
      <c r="AT10" s="15">
        <f>IF($D10=AT$1,$R10,IF($E10=AT$1,$S10,AT9))</f>
        <v/>
      </c>
      <c r="AU10" s="15">
        <f>IF($D10=AU$1,$R10,IF($E10=AU$1,$S10,AU9))</f>
        <v/>
      </c>
      <c r="AV10" s="15">
        <f>IF($D10=AV$1,$R10,IF($E10=AV$1,$S10,AV9))</f>
        <v/>
      </c>
      <c r="AW10" s="15">
        <f>IF($D10=AW$1,$R10,IF($E10=AW$1,$S10,AW9))</f>
        <v/>
      </c>
      <c r="AX10" s="15">
        <f>IF($D10=AX$1,$R10,IF($E10=AX$1,$S10,AX9))</f>
        <v/>
      </c>
      <c r="AY10" s="15">
        <f>IF($D10=AY$1,$R10,IF($E10=AY$1,$S10,AY9))</f>
        <v/>
      </c>
      <c r="AZ10" s="15">
        <f>IF($D10=AZ$1,$R10,IF($E10=AZ$1,$S10,AZ9))</f>
        <v/>
      </c>
      <c r="BA10" s="15">
        <f>IF($D10=BA$1,$R10,IF($E10=BA$1,$S10,BA9))</f>
        <v/>
      </c>
      <c r="BB10" s="15">
        <f>IF($D10=BB$1,$R10,IF($E10=BB$1,$S10,BB9))</f>
        <v/>
      </c>
      <c r="BC10" s="15">
        <f>IF($D10=BC$1,$R10,IF($E10=BC$1,$S10,BC9))</f>
        <v/>
      </c>
      <c r="BD10" s="15">
        <f>IF($D10=BD$1,$R10,IF($E10=BD$1,$S10,BD9))</f>
        <v/>
      </c>
      <c r="BE10" s="15">
        <f>IF($D10=BE$1,$R10,IF($E10=BE$1,$S10,BE9))</f>
        <v/>
      </c>
      <c r="BF10" s="15">
        <f>IF($D10=BF$1,$R10,IF($E10=BF$1,$S10,BF9))</f>
        <v/>
      </c>
      <c r="BG10" s="15">
        <f>IF($D10=BG$1,$R10,IF($E10=BG$1,$S10,BG9))</f>
        <v/>
      </c>
      <c r="BH10" s="15">
        <f>IF($D10=BH$1,$R10,IF($E10=BH$1,$S10,BH9))</f>
        <v/>
      </c>
      <c r="BI10" s="15">
        <f>IF($D10=BI$1,$R10,IF($E10=BI$1,$S10,BI9))</f>
        <v/>
      </c>
      <c r="BJ10" s="15">
        <f>IF($D10=BJ$1,$R10,IF($E10=BJ$1,$S10,BJ9))</f>
        <v/>
      </c>
      <c r="BK10" s="15">
        <f>IF($D10=BK$1,$R10,IF($E10=BK$1,$S10,BK9))</f>
        <v/>
      </c>
      <c r="BL10" s="15">
        <f>IF($D10=BL$1,$R10,IF($E10=BL$1,$S10,BL9))</f>
        <v/>
      </c>
      <c r="BM10" s="15">
        <f>IF($D10=BM$1,$R10,IF($E10=BM$1,$S10,BM9))</f>
        <v/>
      </c>
      <c r="BN10" s="15">
        <f>IF($D10=BN$1,$R10,IF($E10=BN$1,$S10,BN9))</f>
        <v/>
      </c>
      <c r="BO10" s="15">
        <f>IF($D10=BO$1,$R10,IF($E10=BO$1,$S10,BO9))</f>
        <v/>
      </c>
      <c r="BP10" s="15">
        <f>IF($D10=BP$1,$R10,IF($E10=BP$1,$S10,BP9))</f>
        <v/>
      </c>
      <c r="BQ10" s="15">
        <f>IF($D10=BQ$1,$R10,IF($E10=BQ$1,$S10,BQ9))</f>
        <v/>
      </c>
      <c r="BR10" s="15">
        <f>IF($D10=BR$1,$R10,IF($E10=BR$1,$S10,BR9))</f>
        <v/>
      </c>
      <c r="BS10" s="15">
        <f>IF($D10=BS$1,$R10,IF($E10=BS$1,$S10,BS9))</f>
        <v/>
      </c>
      <c r="BT10" s="15">
        <f>IF($D10=BT$1,$R10,IF($E10=BT$1,$S10,BT9))</f>
        <v/>
      </c>
      <c r="BU10" s="15">
        <f>IF($D10=BU$1,$R10,IF($E10=BU$1,$S10,BU9))</f>
        <v/>
      </c>
      <c r="BV10" s="15">
        <f>IF($D10=BV$1,$R10,IF($E10=BV$1,$S10,BV9))</f>
        <v/>
      </c>
      <c r="BW10" s="15">
        <f>IF($D10=BW$1,$R10,IF($E10=BW$1,$S10,BW9))</f>
        <v/>
      </c>
      <c r="BX10" s="15">
        <f>IF($D10=BX$1,$R10,IF($E10=BX$1,$S10,BX9))</f>
        <v/>
      </c>
      <c r="BY10" s="15">
        <f>IF($D10=BY$1,$R10,IF($E10=BY$1,$S10,BY9))</f>
        <v/>
      </c>
      <c r="BZ10" s="15">
        <f>IF($D10=BZ$1,$R10,IF($E10=BZ$1,$S10,BZ9))</f>
        <v/>
      </c>
    </row>
    <row r="11" ht="15" customHeight="1">
      <c r="A11" s="7">
        <f>Fixture!A10</f>
        <v/>
      </c>
      <c r="B11" s="7">
        <f>Fixture!B10</f>
        <v/>
      </c>
      <c r="C11" s="7">
        <f>Fixture!C10</f>
        <v/>
      </c>
      <c r="D11" s="7">
        <f>Fixture!E10</f>
        <v/>
      </c>
      <c r="E11" s="7">
        <f>Fixture!F10</f>
        <v/>
      </c>
      <c r="F11" s="7">
        <f>Fixture!J10</f>
        <v/>
      </c>
      <c r="G11" s="7">
        <f>Fixture!K10</f>
        <v/>
      </c>
      <c r="H11" s="7">
        <f>IF(ISNUMBER(Resultados!B10),1,0)</f>
        <v/>
      </c>
      <c r="I11" s="7">
        <f>IF($H11=1,Resultados!B10,0)</f>
        <v/>
      </c>
      <c r="J11" s="7">
        <f>IF($H11=1,Resultados!C10,0)</f>
        <v/>
      </c>
      <c r="K11" s="12">
        <f>IFERROR(INDEX($AE10:$BZ10,MATCH($D11,$AE$1:$BZ$1,0)),"")</f>
        <v/>
      </c>
      <c r="L11" s="12">
        <f>IFERROR(INDEX($AE10:$BZ10,MATCH($E11,$AE$1:$BZ$1,0)),"")</f>
        <v/>
      </c>
      <c r="M11" s="12">
        <f>IF(OR($K11="",$L11=""),"",($K11+100*$F11)-($L11+100*$G11))</f>
        <v/>
      </c>
      <c r="N11" s="13">
        <f>IF($M11="","",1/(1+10^(-$M11/400)))</f>
        <v/>
      </c>
      <c r="O11" s="7">
        <f>IF(OR($H11=0,$N11=""),"",IF($I11&gt;$J11,1,IF($I11=$J11,0.5,0)))</f>
        <v/>
      </c>
      <c r="P11" s="14">
        <f>IF($O11="","",IF(ABS($I11-$J11)&lt;=1,1,IF(ABS($I11-$J11)=2,1.5,IF(ABS($I11-$J11)=3,1.75,1.75+(ABS($I11-$J11)-3)/8))))</f>
        <v/>
      </c>
      <c r="Q11" s="14">
        <f>IF($O11="",0,Equipos!$O$4*$P11*($O11-$N11))</f>
        <v/>
      </c>
      <c r="R11" s="12">
        <f>IF($K11="","",$K11+$Q11)</f>
        <v/>
      </c>
      <c r="S11" s="12">
        <f>IF($L11="","",$L11-$Q11)</f>
        <v/>
      </c>
      <c r="T11" s="14">
        <f>IF($M11="","",Equipos!$O$3*$M11)</f>
        <v/>
      </c>
      <c r="U11" s="14">
        <f>IFERROR(VLOOKUP($D11,Equipos!$A:$H,6,0),"")</f>
        <v/>
      </c>
      <c r="V11" s="14">
        <f>IFERROR(VLOOKUP($D11,Equipos!$A:$H,7,0),"")</f>
        <v/>
      </c>
      <c r="W11" s="14">
        <f>IFERROR(VLOOKUP($E11,Equipos!$A:$H,6,0),"")</f>
        <v/>
      </c>
      <c r="X11" s="14">
        <f>IFERROR(VLOOKUP($E11,Equipos!$A:$H,7,0),"")</f>
        <v/>
      </c>
      <c r="Y11" s="14">
        <f>IF(OR($U11="",$W11=""),"",MIN(3.6,MAX(1.8,Equipos!$O$2*SQRT($U11*$W11*$V11*$X11))))</f>
        <v/>
      </c>
      <c r="Z11" s="14">
        <f>IF(OR($Y11="",$T11=""),"",MAX(0.2,($Y11+$T11)/2))</f>
        <v/>
      </c>
      <c r="AA11" s="14">
        <f>IF(OR($Y11="",$T11=""),"",MAX(0.2,($Y11-$T11)/2))</f>
        <v/>
      </c>
      <c r="AE11" s="15">
        <f>IF($D11=AE$1,$R11,IF($E11=AE$1,$S11,AE10))</f>
        <v/>
      </c>
      <c r="AF11" s="15">
        <f>IF($D11=AF$1,$R11,IF($E11=AF$1,$S11,AF10))</f>
        <v/>
      </c>
      <c r="AG11" s="15">
        <f>IF($D11=AG$1,$R11,IF($E11=AG$1,$S11,AG10))</f>
        <v/>
      </c>
      <c r="AH11" s="15">
        <f>IF($D11=AH$1,$R11,IF($E11=AH$1,$S11,AH10))</f>
        <v/>
      </c>
      <c r="AI11" s="15">
        <f>IF($D11=AI$1,$R11,IF($E11=AI$1,$S11,AI10))</f>
        <v/>
      </c>
      <c r="AJ11" s="15">
        <f>IF($D11=AJ$1,$R11,IF($E11=AJ$1,$S11,AJ10))</f>
        <v/>
      </c>
      <c r="AK11" s="15">
        <f>IF($D11=AK$1,$R11,IF($E11=AK$1,$S11,AK10))</f>
        <v/>
      </c>
      <c r="AL11" s="15">
        <f>IF($D11=AL$1,$R11,IF($E11=AL$1,$S11,AL10))</f>
        <v/>
      </c>
      <c r="AM11" s="15">
        <f>IF($D11=AM$1,$R11,IF($E11=AM$1,$S11,AM10))</f>
        <v/>
      </c>
      <c r="AN11" s="15">
        <f>IF($D11=AN$1,$R11,IF($E11=AN$1,$S11,AN10))</f>
        <v/>
      </c>
      <c r="AO11" s="15">
        <f>IF($D11=AO$1,$R11,IF($E11=AO$1,$S11,AO10))</f>
        <v/>
      </c>
      <c r="AP11" s="15">
        <f>IF($D11=AP$1,$R11,IF($E11=AP$1,$S11,AP10))</f>
        <v/>
      </c>
      <c r="AQ11" s="15">
        <f>IF($D11=AQ$1,$R11,IF($E11=AQ$1,$S11,AQ10))</f>
        <v/>
      </c>
      <c r="AR11" s="15">
        <f>IF($D11=AR$1,$R11,IF($E11=AR$1,$S11,AR10))</f>
        <v/>
      </c>
      <c r="AS11" s="15">
        <f>IF($D11=AS$1,$R11,IF($E11=AS$1,$S11,AS10))</f>
        <v/>
      </c>
      <c r="AT11" s="15">
        <f>IF($D11=AT$1,$R11,IF($E11=AT$1,$S11,AT10))</f>
        <v/>
      </c>
      <c r="AU11" s="15">
        <f>IF($D11=AU$1,$R11,IF($E11=AU$1,$S11,AU10))</f>
        <v/>
      </c>
      <c r="AV11" s="15">
        <f>IF($D11=AV$1,$R11,IF($E11=AV$1,$S11,AV10))</f>
        <v/>
      </c>
      <c r="AW11" s="15">
        <f>IF($D11=AW$1,$R11,IF($E11=AW$1,$S11,AW10))</f>
        <v/>
      </c>
      <c r="AX11" s="15">
        <f>IF($D11=AX$1,$R11,IF($E11=AX$1,$S11,AX10))</f>
        <v/>
      </c>
      <c r="AY11" s="15">
        <f>IF($D11=AY$1,$R11,IF($E11=AY$1,$S11,AY10))</f>
        <v/>
      </c>
      <c r="AZ11" s="15">
        <f>IF($D11=AZ$1,$R11,IF($E11=AZ$1,$S11,AZ10))</f>
        <v/>
      </c>
      <c r="BA11" s="15">
        <f>IF($D11=BA$1,$R11,IF($E11=BA$1,$S11,BA10))</f>
        <v/>
      </c>
      <c r="BB11" s="15">
        <f>IF($D11=BB$1,$R11,IF($E11=BB$1,$S11,BB10))</f>
        <v/>
      </c>
      <c r="BC11" s="15">
        <f>IF($D11=BC$1,$R11,IF($E11=BC$1,$S11,BC10))</f>
        <v/>
      </c>
      <c r="BD11" s="15">
        <f>IF($D11=BD$1,$R11,IF($E11=BD$1,$S11,BD10))</f>
        <v/>
      </c>
      <c r="BE11" s="15">
        <f>IF($D11=BE$1,$R11,IF($E11=BE$1,$S11,BE10))</f>
        <v/>
      </c>
      <c r="BF11" s="15">
        <f>IF($D11=BF$1,$R11,IF($E11=BF$1,$S11,BF10))</f>
        <v/>
      </c>
      <c r="BG11" s="15">
        <f>IF($D11=BG$1,$R11,IF($E11=BG$1,$S11,BG10))</f>
        <v/>
      </c>
      <c r="BH11" s="15">
        <f>IF($D11=BH$1,$R11,IF($E11=BH$1,$S11,BH10))</f>
        <v/>
      </c>
      <c r="BI11" s="15">
        <f>IF($D11=BI$1,$R11,IF($E11=BI$1,$S11,BI10))</f>
        <v/>
      </c>
      <c r="BJ11" s="15">
        <f>IF($D11=BJ$1,$R11,IF($E11=BJ$1,$S11,BJ10))</f>
        <v/>
      </c>
      <c r="BK11" s="15">
        <f>IF($D11=BK$1,$R11,IF($E11=BK$1,$S11,BK10))</f>
        <v/>
      </c>
      <c r="BL11" s="15">
        <f>IF($D11=BL$1,$R11,IF($E11=BL$1,$S11,BL10))</f>
        <v/>
      </c>
      <c r="BM11" s="15">
        <f>IF($D11=BM$1,$R11,IF($E11=BM$1,$S11,BM10))</f>
        <v/>
      </c>
      <c r="BN11" s="15">
        <f>IF($D11=BN$1,$R11,IF($E11=BN$1,$S11,BN10))</f>
        <v/>
      </c>
      <c r="BO11" s="15">
        <f>IF($D11=BO$1,$R11,IF($E11=BO$1,$S11,BO10))</f>
        <v/>
      </c>
      <c r="BP11" s="15">
        <f>IF($D11=BP$1,$R11,IF($E11=BP$1,$S11,BP10))</f>
        <v/>
      </c>
      <c r="BQ11" s="15">
        <f>IF($D11=BQ$1,$R11,IF($E11=BQ$1,$S11,BQ10))</f>
        <v/>
      </c>
      <c r="BR11" s="15">
        <f>IF($D11=BR$1,$R11,IF($E11=BR$1,$S11,BR10))</f>
        <v/>
      </c>
      <c r="BS11" s="15">
        <f>IF($D11=BS$1,$R11,IF($E11=BS$1,$S11,BS10))</f>
        <v/>
      </c>
      <c r="BT11" s="15">
        <f>IF($D11=BT$1,$R11,IF($E11=BT$1,$S11,BT10))</f>
        <v/>
      </c>
      <c r="BU11" s="15">
        <f>IF($D11=BU$1,$R11,IF($E11=BU$1,$S11,BU10))</f>
        <v/>
      </c>
      <c r="BV11" s="15">
        <f>IF($D11=BV$1,$R11,IF($E11=BV$1,$S11,BV10))</f>
        <v/>
      </c>
      <c r="BW11" s="15">
        <f>IF($D11=BW$1,$R11,IF($E11=BW$1,$S11,BW10))</f>
        <v/>
      </c>
      <c r="BX11" s="15">
        <f>IF($D11=BX$1,$R11,IF($E11=BX$1,$S11,BX10))</f>
        <v/>
      </c>
      <c r="BY11" s="15">
        <f>IF($D11=BY$1,$R11,IF($E11=BY$1,$S11,BY10))</f>
        <v/>
      </c>
      <c r="BZ11" s="15">
        <f>IF($D11=BZ$1,$R11,IF($E11=BZ$1,$S11,BZ10))</f>
        <v/>
      </c>
    </row>
    <row r="12" ht="15" customHeight="1">
      <c r="A12" s="7">
        <f>Fixture!A11</f>
        <v/>
      </c>
      <c r="B12" s="7">
        <f>Fixture!B11</f>
        <v/>
      </c>
      <c r="C12" s="7">
        <f>Fixture!C11</f>
        <v/>
      </c>
      <c r="D12" s="7">
        <f>Fixture!E11</f>
        <v/>
      </c>
      <c r="E12" s="7">
        <f>Fixture!F11</f>
        <v/>
      </c>
      <c r="F12" s="7">
        <f>Fixture!J11</f>
        <v/>
      </c>
      <c r="G12" s="7">
        <f>Fixture!K11</f>
        <v/>
      </c>
      <c r="H12" s="7">
        <f>IF(ISNUMBER(Resultados!B11),1,0)</f>
        <v/>
      </c>
      <c r="I12" s="7">
        <f>IF($H12=1,Resultados!B11,0)</f>
        <v/>
      </c>
      <c r="J12" s="7">
        <f>IF($H12=1,Resultados!C11,0)</f>
        <v/>
      </c>
      <c r="K12" s="12">
        <f>IFERROR(INDEX($AE11:$BZ11,MATCH($D12,$AE$1:$BZ$1,0)),"")</f>
        <v/>
      </c>
      <c r="L12" s="12">
        <f>IFERROR(INDEX($AE11:$BZ11,MATCH($E12,$AE$1:$BZ$1,0)),"")</f>
        <v/>
      </c>
      <c r="M12" s="12">
        <f>IF(OR($K12="",$L12=""),"",($K12+100*$F12)-($L12+100*$G12))</f>
        <v/>
      </c>
      <c r="N12" s="13">
        <f>IF($M12="","",1/(1+10^(-$M12/400)))</f>
        <v/>
      </c>
      <c r="O12" s="7">
        <f>IF(OR($H12=0,$N12=""),"",IF($I12&gt;$J12,1,IF($I12=$J12,0.5,0)))</f>
        <v/>
      </c>
      <c r="P12" s="14">
        <f>IF($O12="","",IF(ABS($I12-$J12)&lt;=1,1,IF(ABS($I12-$J12)=2,1.5,IF(ABS($I12-$J12)=3,1.75,1.75+(ABS($I12-$J12)-3)/8))))</f>
        <v/>
      </c>
      <c r="Q12" s="14">
        <f>IF($O12="",0,Equipos!$O$4*$P12*($O12-$N12))</f>
        <v/>
      </c>
      <c r="R12" s="12">
        <f>IF($K12="","",$K12+$Q12)</f>
        <v/>
      </c>
      <c r="S12" s="12">
        <f>IF($L12="","",$L12-$Q12)</f>
        <v/>
      </c>
      <c r="T12" s="14">
        <f>IF($M12="","",Equipos!$O$3*$M12)</f>
        <v/>
      </c>
      <c r="U12" s="14">
        <f>IFERROR(VLOOKUP($D12,Equipos!$A:$H,6,0),"")</f>
        <v/>
      </c>
      <c r="V12" s="14">
        <f>IFERROR(VLOOKUP($D12,Equipos!$A:$H,7,0),"")</f>
        <v/>
      </c>
      <c r="W12" s="14">
        <f>IFERROR(VLOOKUP($E12,Equipos!$A:$H,6,0),"")</f>
        <v/>
      </c>
      <c r="X12" s="14">
        <f>IFERROR(VLOOKUP($E12,Equipos!$A:$H,7,0),"")</f>
        <v/>
      </c>
      <c r="Y12" s="14">
        <f>IF(OR($U12="",$W12=""),"",MIN(3.6,MAX(1.8,Equipos!$O$2*SQRT($U12*$W12*$V12*$X12))))</f>
        <v/>
      </c>
      <c r="Z12" s="14">
        <f>IF(OR($Y12="",$T12=""),"",MAX(0.2,($Y12+$T12)/2))</f>
        <v/>
      </c>
      <c r="AA12" s="14">
        <f>IF(OR($Y12="",$T12=""),"",MAX(0.2,($Y12-$T12)/2))</f>
        <v/>
      </c>
      <c r="AE12" s="15">
        <f>IF($D12=AE$1,$R12,IF($E12=AE$1,$S12,AE11))</f>
        <v/>
      </c>
      <c r="AF12" s="15">
        <f>IF($D12=AF$1,$R12,IF($E12=AF$1,$S12,AF11))</f>
        <v/>
      </c>
      <c r="AG12" s="15">
        <f>IF($D12=AG$1,$R12,IF($E12=AG$1,$S12,AG11))</f>
        <v/>
      </c>
      <c r="AH12" s="15">
        <f>IF($D12=AH$1,$R12,IF($E12=AH$1,$S12,AH11))</f>
        <v/>
      </c>
      <c r="AI12" s="15">
        <f>IF($D12=AI$1,$R12,IF($E12=AI$1,$S12,AI11))</f>
        <v/>
      </c>
      <c r="AJ12" s="15">
        <f>IF($D12=AJ$1,$R12,IF($E12=AJ$1,$S12,AJ11))</f>
        <v/>
      </c>
      <c r="AK12" s="15">
        <f>IF($D12=AK$1,$R12,IF($E12=AK$1,$S12,AK11))</f>
        <v/>
      </c>
      <c r="AL12" s="15">
        <f>IF($D12=AL$1,$R12,IF($E12=AL$1,$S12,AL11))</f>
        <v/>
      </c>
      <c r="AM12" s="15">
        <f>IF($D12=AM$1,$R12,IF($E12=AM$1,$S12,AM11))</f>
        <v/>
      </c>
      <c r="AN12" s="15">
        <f>IF($D12=AN$1,$R12,IF($E12=AN$1,$S12,AN11))</f>
        <v/>
      </c>
      <c r="AO12" s="15">
        <f>IF($D12=AO$1,$R12,IF($E12=AO$1,$S12,AO11))</f>
        <v/>
      </c>
      <c r="AP12" s="15">
        <f>IF($D12=AP$1,$R12,IF($E12=AP$1,$S12,AP11))</f>
        <v/>
      </c>
      <c r="AQ12" s="15">
        <f>IF($D12=AQ$1,$R12,IF($E12=AQ$1,$S12,AQ11))</f>
        <v/>
      </c>
      <c r="AR12" s="15">
        <f>IF($D12=AR$1,$R12,IF($E12=AR$1,$S12,AR11))</f>
        <v/>
      </c>
      <c r="AS12" s="15">
        <f>IF($D12=AS$1,$R12,IF($E12=AS$1,$S12,AS11))</f>
        <v/>
      </c>
      <c r="AT12" s="15">
        <f>IF($D12=AT$1,$R12,IF($E12=AT$1,$S12,AT11))</f>
        <v/>
      </c>
      <c r="AU12" s="15">
        <f>IF($D12=AU$1,$R12,IF($E12=AU$1,$S12,AU11))</f>
        <v/>
      </c>
      <c r="AV12" s="15">
        <f>IF($D12=AV$1,$R12,IF($E12=AV$1,$S12,AV11))</f>
        <v/>
      </c>
      <c r="AW12" s="15">
        <f>IF($D12=AW$1,$R12,IF($E12=AW$1,$S12,AW11))</f>
        <v/>
      </c>
      <c r="AX12" s="15">
        <f>IF($D12=AX$1,$R12,IF($E12=AX$1,$S12,AX11))</f>
        <v/>
      </c>
      <c r="AY12" s="15">
        <f>IF($D12=AY$1,$R12,IF($E12=AY$1,$S12,AY11))</f>
        <v/>
      </c>
      <c r="AZ12" s="15">
        <f>IF($D12=AZ$1,$R12,IF($E12=AZ$1,$S12,AZ11))</f>
        <v/>
      </c>
      <c r="BA12" s="15">
        <f>IF($D12=BA$1,$R12,IF($E12=BA$1,$S12,BA11))</f>
        <v/>
      </c>
      <c r="BB12" s="15">
        <f>IF($D12=BB$1,$R12,IF($E12=BB$1,$S12,BB11))</f>
        <v/>
      </c>
      <c r="BC12" s="15">
        <f>IF($D12=BC$1,$R12,IF($E12=BC$1,$S12,BC11))</f>
        <v/>
      </c>
      <c r="BD12" s="15">
        <f>IF($D12=BD$1,$R12,IF($E12=BD$1,$S12,BD11))</f>
        <v/>
      </c>
      <c r="BE12" s="15">
        <f>IF($D12=BE$1,$R12,IF($E12=BE$1,$S12,BE11))</f>
        <v/>
      </c>
      <c r="BF12" s="15">
        <f>IF($D12=BF$1,$R12,IF($E12=BF$1,$S12,BF11))</f>
        <v/>
      </c>
      <c r="BG12" s="15">
        <f>IF($D12=BG$1,$R12,IF($E12=BG$1,$S12,BG11))</f>
        <v/>
      </c>
      <c r="BH12" s="15">
        <f>IF($D12=BH$1,$R12,IF($E12=BH$1,$S12,BH11))</f>
        <v/>
      </c>
      <c r="BI12" s="15">
        <f>IF($D12=BI$1,$R12,IF($E12=BI$1,$S12,BI11))</f>
        <v/>
      </c>
      <c r="BJ12" s="15">
        <f>IF($D12=BJ$1,$R12,IF($E12=BJ$1,$S12,BJ11))</f>
        <v/>
      </c>
      <c r="BK12" s="15">
        <f>IF($D12=BK$1,$R12,IF($E12=BK$1,$S12,BK11))</f>
        <v/>
      </c>
      <c r="BL12" s="15">
        <f>IF($D12=BL$1,$R12,IF($E12=BL$1,$S12,BL11))</f>
        <v/>
      </c>
      <c r="BM12" s="15">
        <f>IF($D12=BM$1,$R12,IF($E12=BM$1,$S12,BM11))</f>
        <v/>
      </c>
      <c r="BN12" s="15">
        <f>IF($D12=BN$1,$R12,IF($E12=BN$1,$S12,BN11))</f>
        <v/>
      </c>
      <c r="BO12" s="15">
        <f>IF($D12=BO$1,$R12,IF($E12=BO$1,$S12,BO11))</f>
        <v/>
      </c>
      <c r="BP12" s="15">
        <f>IF($D12=BP$1,$R12,IF($E12=BP$1,$S12,BP11))</f>
        <v/>
      </c>
      <c r="BQ12" s="15">
        <f>IF($D12=BQ$1,$R12,IF($E12=BQ$1,$S12,BQ11))</f>
        <v/>
      </c>
      <c r="BR12" s="15">
        <f>IF($D12=BR$1,$R12,IF($E12=BR$1,$S12,BR11))</f>
        <v/>
      </c>
      <c r="BS12" s="15">
        <f>IF($D12=BS$1,$R12,IF($E12=BS$1,$S12,BS11))</f>
        <v/>
      </c>
      <c r="BT12" s="15">
        <f>IF($D12=BT$1,$R12,IF($E12=BT$1,$S12,BT11))</f>
        <v/>
      </c>
      <c r="BU12" s="15">
        <f>IF($D12=BU$1,$R12,IF($E12=BU$1,$S12,BU11))</f>
        <v/>
      </c>
      <c r="BV12" s="15">
        <f>IF($D12=BV$1,$R12,IF($E12=BV$1,$S12,BV11))</f>
        <v/>
      </c>
      <c r="BW12" s="15">
        <f>IF($D12=BW$1,$R12,IF($E12=BW$1,$S12,BW11))</f>
        <v/>
      </c>
      <c r="BX12" s="15">
        <f>IF($D12=BX$1,$R12,IF($E12=BX$1,$S12,BX11))</f>
        <v/>
      </c>
      <c r="BY12" s="15">
        <f>IF($D12=BY$1,$R12,IF($E12=BY$1,$S12,BY11))</f>
        <v/>
      </c>
      <c r="BZ12" s="15">
        <f>IF($D12=BZ$1,$R12,IF($E12=BZ$1,$S12,BZ11))</f>
        <v/>
      </c>
    </row>
    <row r="13" ht="15" customHeight="1">
      <c r="A13" s="7">
        <f>Fixture!A12</f>
        <v/>
      </c>
      <c r="B13" s="7">
        <f>Fixture!B12</f>
        <v/>
      </c>
      <c r="C13" s="7">
        <f>Fixture!C12</f>
        <v/>
      </c>
      <c r="D13" s="7">
        <f>Fixture!E12</f>
        <v/>
      </c>
      <c r="E13" s="7">
        <f>Fixture!F12</f>
        <v/>
      </c>
      <c r="F13" s="7">
        <f>Fixture!J12</f>
        <v/>
      </c>
      <c r="G13" s="7">
        <f>Fixture!K12</f>
        <v/>
      </c>
      <c r="H13" s="7">
        <f>IF(ISNUMBER(Resultados!B12),1,0)</f>
        <v/>
      </c>
      <c r="I13" s="7">
        <f>IF($H13=1,Resultados!B12,0)</f>
        <v/>
      </c>
      <c r="J13" s="7">
        <f>IF($H13=1,Resultados!C12,0)</f>
        <v/>
      </c>
      <c r="K13" s="12">
        <f>IFERROR(INDEX($AE12:$BZ12,MATCH($D13,$AE$1:$BZ$1,0)),"")</f>
        <v/>
      </c>
      <c r="L13" s="12">
        <f>IFERROR(INDEX($AE12:$BZ12,MATCH($E13,$AE$1:$BZ$1,0)),"")</f>
        <v/>
      </c>
      <c r="M13" s="12">
        <f>IF(OR($K13="",$L13=""),"",($K13+100*$F13)-($L13+100*$G13))</f>
        <v/>
      </c>
      <c r="N13" s="13">
        <f>IF($M13="","",1/(1+10^(-$M13/400)))</f>
        <v/>
      </c>
      <c r="O13" s="7">
        <f>IF(OR($H13=0,$N13=""),"",IF($I13&gt;$J13,1,IF($I13=$J13,0.5,0)))</f>
        <v/>
      </c>
      <c r="P13" s="14">
        <f>IF($O13="","",IF(ABS($I13-$J13)&lt;=1,1,IF(ABS($I13-$J13)=2,1.5,IF(ABS($I13-$J13)=3,1.75,1.75+(ABS($I13-$J13)-3)/8))))</f>
        <v/>
      </c>
      <c r="Q13" s="14">
        <f>IF($O13="",0,Equipos!$O$4*$P13*($O13-$N13))</f>
        <v/>
      </c>
      <c r="R13" s="12">
        <f>IF($K13="","",$K13+$Q13)</f>
        <v/>
      </c>
      <c r="S13" s="12">
        <f>IF($L13="","",$L13-$Q13)</f>
        <v/>
      </c>
      <c r="T13" s="14">
        <f>IF($M13="","",Equipos!$O$3*$M13)</f>
        <v/>
      </c>
      <c r="U13" s="14">
        <f>IFERROR(VLOOKUP($D13,Equipos!$A:$H,6,0),"")</f>
        <v/>
      </c>
      <c r="V13" s="14">
        <f>IFERROR(VLOOKUP($D13,Equipos!$A:$H,7,0),"")</f>
        <v/>
      </c>
      <c r="W13" s="14">
        <f>IFERROR(VLOOKUP($E13,Equipos!$A:$H,6,0),"")</f>
        <v/>
      </c>
      <c r="X13" s="14">
        <f>IFERROR(VLOOKUP($E13,Equipos!$A:$H,7,0),"")</f>
        <v/>
      </c>
      <c r="Y13" s="14">
        <f>IF(OR($U13="",$W13=""),"",MIN(3.6,MAX(1.8,Equipos!$O$2*SQRT($U13*$W13*$V13*$X13))))</f>
        <v/>
      </c>
      <c r="Z13" s="14">
        <f>IF(OR($Y13="",$T13=""),"",MAX(0.2,($Y13+$T13)/2))</f>
        <v/>
      </c>
      <c r="AA13" s="14">
        <f>IF(OR($Y13="",$T13=""),"",MAX(0.2,($Y13-$T13)/2))</f>
        <v/>
      </c>
      <c r="AE13" s="15">
        <f>IF($D13=AE$1,$R13,IF($E13=AE$1,$S13,AE12))</f>
        <v/>
      </c>
      <c r="AF13" s="15">
        <f>IF($D13=AF$1,$R13,IF($E13=AF$1,$S13,AF12))</f>
        <v/>
      </c>
      <c r="AG13" s="15">
        <f>IF($D13=AG$1,$R13,IF($E13=AG$1,$S13,AG12))</f>
        <v/>
      </c>
      <c r="AH13" s="15">
        <f>IF($D13=AH$1,$R13,IF($E13=AH$1,$S13,AH12))</f>
        <v/>
      </c>
      <c r="AI13" s="15">
        <f>IF($D13=AI$1,$R13,IF($E13=AI$1,$S13,AI12))</f>
        <v/>
      </c>
      <c r="AJ13" s="15">
        <f>IF($D13=AJ$1,$R13,IF($E13=AJ$1,$S13,AJ12))</f>
        <v/>
      </c>
      <c r="AK13" s="15">
        <f>IF($D13=AK$1,$R13,IF($E13=AK$1,$S13,AK12))</f>
        <v/>
      </c>
      <c r="AL13" s="15">
        <f>IF($D13=AL$1,$R13,IF($E13=AL$1,$S13,AL12))</f>
        <v/>
      </c>
      <c r="AM13" s="15">
        <f>IF($D13=AM$1,$R13,IF($E13=AM$1,$S13,AM12))</f>
        <v/>
      </c>
      <c r="AN13" s="15">
        <f>IF($D13=AN$1,$R13,IF($E13=AN$1,$S13,AN12))</f>
        <v/>
      </c>
      <c r="AO13" s="15">
        <f>IF($D13=AO$1,$R13,IF($E13=AO$1,$S13,AO12))</f>
        <v/>
      </c>
      <c r="AP13" s="15">
        <f>IF($D13=AP$1,$R13,IF($E13=AP$1,$S13,AP12))</f>
        <v/>
      </c>
      <c r="AQ13" s="15">
        <f>IF($D13=AQ$1,$R13,IF($E13=AQ$1,$S13,AQ12))</f>
        <v/>
      </c>
      <c r="AR13" s="15">
        <f>IF($D13=AR$1,$R13,IF($E13=AR$1,$S13,AR12))</f>
        <v/>
      </c>
      <c r="AS13" s="15">
        <f>IF($D13=AS$1,$R13,IF($E13=AS$1,$S13,AS12))</f>
        <v/>
      </c>
      <c r="AT13" s="15">
        <f>IF($D13=AT$1,$R13,IF($E13=AT$1,$S13,AT12))</f>
        <v/>
      </c>
      <c r="AU13" s="15">
        <f>IF($D13=AU$1,$R13,IF($E13=AU$1,$S13,AU12))</f>
        <v/>
      </c>
      <c r="AV13" s="15">
        <f>IF($D13=AV$1,$R13,IF($E13=AV$1,$S13,AV12))</f>
        <v/>
      </c>
      <c r="AW13" s="15">
        <f>IF($D13=AW$1,$R13,IF($E13=AW$1,$S13,AW12))</f>
        <v/>
      </c>
      <c r="AX13" s="15">
        <f>IF($D13=AX$1,$R13,IF($E13=AX$1,$S13,AX12))</f>
        <v/>
      </c>
      <c r="AY13" s="15">
        <f>IF($D13=AY$1,$R13,IF($E13=AY$1,$S13,AY12))</f>
        <v/>
      </c>
      <c r="AZ13" s="15">
        <f>IF($D13=AZ$1,$R13,IF($E13=AZ$1,$S13,AZ12))</f>
        <v/>
      </c>
      <c r="BA13" s="15">
        <f>IF($D13=BA$1,$R13,IF($E13=BA$1,$S13,BA12))</f>
        <v/>
      </c>
      <c r="BB13" s="15">
        <f>IF($D13=BB$1,$R13,IF($E13=BB$1,$S13,BB12))</f>
        <v/>
      </c>
      <c r="BC13" s="15">
        <f>IF($D13=BC$1,$R13,IF($E13=BC$1,$S13,BC12))</f>
        <v/>
      </c>
      <c r="BD13" s="15">
        <f>IF($D13=BD$1,$R13,IF($E13=BD$1,$S13,BD12))</f>
        <v/>
      </c>
      <c r="BE13" s="15">
        <f>IF($D13=BE$1,$R13,IF($E13=BE$1,$S13,BE12))</f>
        <v/>
      </c>
      <c r="BF13" s="15">
        <f>IF($D13=BF$1,$R13,IF($E13=BF$1,$S13,BF12))</f>
        <v/>
      </c>
      <c r="BG13" s="15">
        <f>IF($D13=BG$1,$R13,IF($E13=BG$1,$S13,BG12))</f>
        <v/>
      </c>
      <c r="BH13" s="15">
        <f>IF($D13=BH$1,$R13,IF($E13=BH$1,$S13,BH12))</f>
        <v/>
      </c>
      <c r="BI13" s="15">
        <f>IF($D13=BI$1,$R13,IF($E13=BI$1,$S13,BI12))</f>
        <v/>
      </c>
      <c r="BJ13" s="15">
        <f>IF($D13=BJ$1,$R13,IF($E13=BJ$1,$S13,BJ12))</f>
        <v/>
      </c>
      <c r="BK13" s="15">
        <f>IF($D13=BK$1,$R13,IF($E13=BK$1,$S13,BK12))</f>
        <v/>
      </c>
      <c r="BL13" s="15">
        <f>IF($D13=BL$1,$R13,IF($E13=BL$1,$S13,BL12))</f>
        <v/>
      </c>
      <c r="BM13" s="15">
        <f>IF($D13=BM$1,$R13,IF($E13=BM$1,$S13,BM12))</f>
        <v/>
      </c>
      <c r="BN13" s="15">
        <f>IF($D13=BN$1,$R13,IF($E13=BN$1,$S13,BN12))</f>
        <v/>
      </c>
      <c r="BO13" s="15">
        <f>IF($D13=BO$1,$R13,IF($E13=BO$1,$S13,BO12))</f>
        <v/>
      </c>
      <c r="BP13" s="15">
        <f>IF($D13=BP$1,$R13,IF($E13=BP$1,$S13,BP12))</f>
        <v/>
      </c>
      <c r="BQ13" s="15">
        <f>IF($D13=BQ$1,$R13,IF($E13=BQ$1,$S13,BQ12))</f>
        <v/>
      </c>
      <c r="BR13" s="15">
        <f>IF($D13=BR$1,$R13,IF($E13=BR$1,$S13,BR12))</f>
        <v/>
      </c>
      <c r="BS13" s="15">
        <f>IF($D13=BS$1,$R13,IF($E13=BS$1,$S13,BS12))</f>
        <v/>
      </c>
      <c r="BT13" s="15">
        <f>IF($D13=BT$1,$R13,IF($E13=BT$1,$S13,BT12))</f>
        <v/>
      </c>
      <c r="BU13" s="15">
        <f>IF($D13=BU$1,$R13,IF($E13=BU$1,$S13,BU12))</f>
        <v/>
      </c>
      <c r="BV13" s="15">
        <f>IF($D13=BV$1,$R13,IF($E13=BV$1,$S13,BV12))</f>
        <v/>
      </c>
      <c r="BW13" s="15">
        <f>IF($D13=BW$1,$R13,IF($E13=BW$1,$S13,BW12))</f>
        <v/>
      </c>
      <c r="BX13" s="15">
        <f>IF($D13=BX$1,$R13,IF($E13=BX$1,$S13,BX12))</f>
        <v/>
      </c>
      <c r="BY13" s="15">
        <f>IF($D13=BY$1,$R13,IF($E13=BY$1,$S13,BY12))</f>
        <v/>
      </c>
      <c r="BZ13" s="15">
        <f>IF($D13=BZ$1,$R13,IF($E13=BZ$1,$S13,BZ12))</f>
        <v/>
      </c>
    </row>
    <row r="14" ht="15" customHeight="1">
      <c r="A14" s="7">
        <f>Fixture!A13</f>
        <v/>
      </c>
      <c r="B14" s="7">
        <f>Fixture!B13</f>
        <v/>
      </c>
      <c r="C14" s="7">
        <f>Fixture!C13</f>
        <v/>
      </c>
      <c r="D14" s="7">
        <f>Fixture!E13</f>
        <v/>
      </c>
      <c r="E14" s="7">
        <f>Fixture!F13</f>
        <v/>
      </c>
      <c r="F14" s="7">
        <f>Fixture!J13</f>
        <v/>
      </c>
      <c r="G14" s="7">
        <f>Fixture!K13</f>
        <v/>
      </c>
      <c r="H14" s="7">
        <f>IF(ISNUMBER(Resultados!B13),1,0)</f>
        <v/>
      </c>
      <c r="I14" s="7">
        <f>IF($H14=1,Resultados!B13,0)</f>
        <v/>
      </c>
      <c r="J14" s="7">
        <f>IF($H14=1,Resultados!C13,0)</f>
        <v/>
      </c>
      <c r="K14" s="12">
        <f>IFERROR(INDEX($AE13:$BZ13,MATCH($D14,$AE$1:$BZ$1,0)),"")</f>
        <v/>
      </c>
      <c r="L14" s="12">
        <f>IFERROR(INDEX($AE13:$BZ13,MATCH($E14,$AE$1:$BZ$1,0)),"")</f>
        <v/>
      </c>
      <c r="M14" s="12">
        <f>IF(OR($K14="",$L14=""),"",($K14+100*$F14)-($L14+100*$G14))</f>
        <v/>
      </c>
      <c r="N14" s="13">
        <f>IF($M14="","",1/(1+10^(-$M14/400)))</f>
        <v/>
      </c>
      <c r="O14" s="7">
        <f>IF(OR($H14=0,$N14=""),"",IF($I14&gt;$J14,1,IF($I14=$J14,0.5,0)))</f>
        <v/>
      </c>
      <c r="P14" s="14">
        <f>IF($O14="","",IF(ABS($I14-$J14)&lt;=1,1,IF(ABS($I14-$J14)=2,1.5,IF(ABS($I14-$J14)=3,1.75,1.75+(ABS($I14-$J14)-3)/8))))</f>
        <v/>
      </c>
      <c r="Q14" s="14">
        <f>IF($O14="",0,Equipos!$O$4*$P14*($O14-$N14))</f>
        <v/>
      </c>
      <c r="R14" s="12">
        <f>IF($K14="","",$K14+$Q14)</f>
        <v/>
      </c>
      <c r="S14" s="12">
        <f>IF($L14="","",$L14-$Q14)</f>
        <v/>
      </c>
      <c r="T14" s="14">
        <f>IF($M14="","",Equipos!$O$3*$M14)</f>
        <v/>
      </c>
      <c r="U14" s="14">
        <f>IFERROR(VLOOKUP($D14,Equipos!$A:$H,6,0),"")</f>
        <v/>
      </c>
      <c r="V14" s="14">
        <f>IFERROR(VLOOKUP($D14,Equipos!$A:$H,7,0),"")</f>
        <v/>
      </c>
      <c r="W14" s="14">
        <f>IFERROR(VLOOKUP($E14,Equipos!$A:$H,6,0),"")</f>
        <v/>
      </c>
      <c r="X14" s="14">
        <f>IFERROR(VLOOKUP($E14,Equipos!$A:$H,7,0),"")</f>
        <v/>
      </c>
      <c r="Y14" s="14">
        <f>IF(OR($U14="",$W14=""),"",MIN(3.6,MAX(1.8,Equipos!$O$2*SQRT($U14*$W14*$V14*$X14))))</f>
        <v/>
      </c>
      <c r="Z14" s="14">
        <f>IF(OR($Y14="",$T14=""),"",MAX(0.2,($Y14+$T14)/2))</f>
        <v/>
      </c>
      <c r="AA14" s="14">
        <f>IF(OR($Y14="",$T14=""),"",MAX(0.2,($Y14-$T14)/2))</f>
        <v/>
      </c>
      <c r="AE14" s="15">
        <f>IF($D14=AE$1,$R14,IF($E14=AE$1,$S14,AE13))</f>
        <v/>
      </c>
      <c r="AF14" s="15">
        <f>IF($D14=AF$1,$R14,IF($E14=AF$1,$S14,AF13))</f>
        <v/>
      </c>
      <c r="AG14" s="15">
        <f>IF($D14=AG$1,$R14,IF($E14=AG$1,$S14,AG13))</f>
        <v/>
      </c>
      <c r="AH14" s="15">
        <f>IF($D14=AH$1,$R14,IF($E14=AH$1,$S14,AH13))</f>
        <v/>
      </c>
      <c r="AI14" s="15">
        <f>IF($D14=AI$1,$R14,IF($E14=AI$1,$S14,AI13))</f>
        <v/>
      </c>
      <c r="AJ14" s="15">
        <f>IF($D14=AJ$1,$R14,IF($E14=AJ$1,$S14,AJ13))</f>
        <v/>
      </c>
      <c r="AK14" s="15">
        <f>IF($D14=AK$1,$R14,IF($E14=AK$1,$S14,AK13))</f>
        <v/>
      </c>
      <c r="AL14" s="15">
        <f>IF($D14=AL$1,$R14,IF($E14=AL$1,$S14,AL13))</f>
        <v/>
      </c>
      <c r="AM14" s="15">
        <f>IF($D14=AM$1,$R14,IF($E14=AM$1,$S14,AM13))</f>
        <v/>
      </c>
      <c r="AN14" s="15">
        <f>IF($D14=AN$1,$R14,IF($E14=AN$1,$S14,AN13))</f>
        <v/>
      </c>
      <c r="AO14" s="15">
        <f>IF($D14=AO$1,$R14,IF($E14=AO$1,$S14,AO13))</f>
        <v/>
      </c>
      <c r="AP14" s="15">
        <f>IF($D14=AP$1,$R14,IF($E14=AP$1,$S14,AP13))</f>
        <v/>
      </c>
      <c r="AQ14" s="15">
        <f>IF($D14=AQ$1,$R14,IF($E14=AQ$1,$S14,AQ13))</f>
        <v/>
      </c>
      <c r="AR14" s="15">
        <f>IF($D14=AR$1,$R14,IF($E14=AR$1,$S14,AR13))</f>
        <v/>
      </c>
      <c r="AS14" s="15">
        <f>IF($D14=AS$1,$R14,IF($E14=AS$1,$S14,AS13))</f>
        <v/>
      </c>
      <c r="AT14" s="15">
        <f>IF($D14=AT$1,$R14,IF($E14=AT$1,$S14,AT13))</f>
        <v/>
      </c>
      <c r="AU14" s="15">
        <f>IF($D14=AU$1,$R14,IF($E14=AU$1,$S14,AU13))</f>
        <v/>
      </c>
      <c r="AV14" s="15">
        <f>IF($D14=AV$1,$R14,IF($E14=AV$1,$S14,AV13))</f>
        <v/>
      </c>
      <c r="AW14" s="15">
        <f>IF($D14=AW$1,$R14,IF($E14=AW$1,$S14,AW13))</f>
        <v/>
      </c>
      <c r="AX14" s="15">
        <f>IF($D14=AX$1,$R14,IF($E14=AX$1,$S14,AX13))</f>
        <v/>
      </c>
      <c r="AY14" s="15">
        <f>IF($D14=AY$1,$R14,IF($E14=AY$1,$S14,AY13))</f>
        <v/>
      </c>
      <c r="AZ14" s="15">
        <f>IF($D14=AZ$1,$R14,IF($E14=AZ$1,$S14,AZ13))</f>
        <v/>
      </c>
      <c r="BA14" s="15">
        <f>IF($D14=BA$1,$R14,IF($E14=BA$1,$S14,BA13))</f>
        <v/>
      </c>
      <c r="BB14" s="15">
        <f>IF($D14=BB$1,$R14,IF($E14=BB$1,$S14,BB13))</f>
        <v/>
      </c>
      <c r="BC14" s="15">
        <f>IF($D14=BC$1,$R14,IF($E14=BC$1,$S14,BC13))</f>
        <v/>
      </c>
      <c r="BD14" s="15">
        <f>IF($D14=BD$1,$R14,IF($E14=BD$1,$S14,BD13))</f>
        <v/>
      </c>
      <c r="BE14" s="15">
        <f>IF($D14=BE$1,$R14,IF($E14=BE$1,$S14,BE13))</f>
        <v/>
      </c>
      <c r="BF14" s="15">
        <f>IF($D14=BF$1,$R14,IF($E14=BF$1,$S14,BF13))</f>
        <v/>
      </c>
      <c r="BG14" s="15">
        <f>IF($D14=BG$1,$R14,IF($E14=BG$1,$S14,BG13))</f>
        <v/>
      </c>
      <c r="BH14" s="15">
        <f>IF($D14=BH$1,$R14,IF($E14=BH$1,$S14,BH13))</f>
        <v/>
      </c>
      <c r="BI14" s="15">
        <f>IF($D14=BI$1,$R14,IF($E14=BI$1,$S14,BI13))</f>
        <v/>
      </c>
      <c r="BJ14" s="15">
        <f>IF($D14=BJ$1,$R14,IF($E14=BJ$1,$S14,BJ13))</f>
        <v/>
      </c>
      <c r="BK14" s="15">
        <f>IF($D14=BK$1,$R14,IF($E14=BK$1,$S14,BK13))</f>
        <v/>
      </c>
      <c r="BL14" s="15">
        <f>IF($D14=BL$1,$R14,IF($E14=BL$1,$S14,BL13))</f>
        <v/>
      </c>
      <c r="BM14" s="15">
        <f>IF($D14=BM$1,$R14,IF($E14=BM$1,$S14,BM13))</f>
        <v/>
      </c>
      <c r="BN14" s="15">
        <f>IF($D14=BN$1,$R14,IF($E14=BN$1,$S14,BN13))</f>
        <v/>
      </c>
      <c r="BO14" s="15">
        <f>IF($D14=BO$1,$R14,IF($E14=BO$1,$S14,BO13))</f>
        <v/>
      </c>
      <c r="BP14" s="15">
        <f>IF($D14=BP$1,$R14,IF($E14=BP$1,$S14,BP13))</f>
        <v/>
      </c>
      <c r="BQ14" s="15">
        <f>IF($D14=BQ$1,$R14,IF($E14=BQ$1,$S14,BQ13))</f>
        <v/>
      </c>
      <c r="BR14" s="15">
        <f>IF($D14=BR$1,$R14,IF($E14=BR$1,$S14,BR13))</f>
        <v/>
      </c>
      <c r="BS14" s="15">
        <f>IF($D14=BS$1,$R14,IF($E14=BS$1,$S14,BS13))</f>
        <v/>
      </c>
      <c r="BT14" s="15">
        <f>IF($D14=BT$1,$R14,IF($E14=BT$1,$S14,BT13))</f>
        <v/>
      </c>
      <c r="BU14" s="15">
        <f>IF($D14=BU$1,$R14,IF($E14=BU$1,$S14,BU13))</f>
        <v/>
      </c>
      <c r="BV14" s="15">
        <f>IF($D14=BV$1,$R14,IF($E14=BV$1,$S14,BV13))</f>
        <v/>
      </c>
      <c r="BW14" s="15">
        <f>IF($D14=BW$1,$R14,IF($E14=BW$1,$S14,BW13))</f>
        <v/>
      </c>
      <c r="BX14" s="15">
        <f>IF($D14=BX$1,$R14,IF($E14=BX$1,$S14,BX13))</f>
        <v/>
      </c>
      <c r="BY14" s="15">
        <f>IF($D14=BY$1,$R14,IF($E14=BY$1,$S14,BY13))</f>
        <v/>
      </c>
      <c r="BZ14" s="15">
        <f>IF($D14=BZ$1,$R14,IF($E14=BZ$1,$S14,BZ13))</f>
        <v/>
      </c>
    </row>
    <row r="15" ht="15" customHeight="1">
      <c r="A15" s="7">
        <f>Fixture!A14</f>
        <v/>
      </c>
      <c r="B15" s="7">
        <f>Fixture!B14</f>
        <v/>
      </c>
      <c r="C15" s="7">
        <f>Fixture!C14</f>
        <v/>
      </c>
      <c r="D15" s="7">
        <f>Fixture!E14</f>
        <v/>
      </c>
      <c r="E15" s="7">
        <f>Fixture!F14</f>
        <v/>
      </c>
      <c r="F15" s="7">
        <f>Fixture!J14</f>
        <v/>
      </c>
      <c r="G15" s="7">
        <f>Fixture!K14</f>
        <v/>
      </c>
      <c r="H15" s="7">
        <f>IF(ISNUMBER(Resultados!B14),1,0)</f>
        <v/>
      </c>
      <c r="I15" s="7">
        <f>IF($H15=1,Resultados!B14,0)</f>
        <v/>
      </c>
      <c r="J15" s="7">
        <f>IF($H15=1,Resultados!C14,0)</f>
        <v/>
      </c>
      <c r="K15" s="12">
        <f>IFERROR(INDEX($AE14:$BZ14,MATCH($D15,$AE$1:$BZ$1,0)),"")</f>
        <v/>
      </c>
      <c r="L15" s="12">
        <f>IFERROR(INDEX($AE14:$BZ14,MATCH($E15,$AE$1:$BZ$1,0)),"")</f>
        <v/>
      </c>
      <c r="M15" s="12">
        <f>IF(OR($K15="",$L15=""),"",($K15+100*$F15)-($L15+100*$G15))</f>
        <v/>
      </c>
      <c r="N15" s="13">
        <f>IF($M15="","",1/(1+10^(-$M15/400)))</f>
        <v/>
      </c>
      <c r="O15" s="7">
        <f>IF(OR($H15=0,$N15=""),"",IF($I15&gt;$J15,1,IF($I15=$J15,0.5,0)))</f>
        <v/>
      </c>
      <c r="P15" s="14">
        <f>IF($O15="","",IF(ABS($I15-$J15)&lt;=1,1,IF(ABS($I15-$J15)=2,1.5,IF(ABS($I15-$J15)=3,1.75,1.75+(ABS($I15-$J15)-3)/8))))</f>
        <v/>
      </c>
      <c r="Q15" s="14">
        <f>IF($O15="",0,Equipos!$O$4*$P15*($O15-$N15))</f>
        <v/>
      </c>
      <c r="R15" s="12">
        <f>IF($K15="","",$K15+$Q15)</f>
        <v/>
      </c>
      <c r="S15" s="12">
        <f>IF($L15="","",$L15-$Q15)</f>
        <v/>
      </c>
      <c r="T15" s="14">
        <f>IF($M15="","",Equipos!$O$3*$M15)</f>
        <v/>
      </c>
      <c r="U15" s="14">
        <f>IFERROR(VLOOKUP($D15,Equipos!$A:$H,6,0),"")</f>
        <v/>
      </c>
      <c r="V15" s="14">
        <f>IFERROR(VLOOKUP($D15,Equipos!$A:$H,7,0),"")</f>
        <v/>
      </c>
      <c r="W15" s="14">
        <f>IFERROR(VLOOKUP($E15,Equipos!$A:$H,6,0),"")</f>
        <v/>
      </c>
      <c r="X15" s="14">
        <f>IFERROR(VLOOKUP($E15,Equipos!$A:$H,7,0),"")</f>
        <v/>
      </c>
      <c r="Y15" s="14">
        <f>IF(OR($U15="",$W15=""),"",MIN(3.6,MAX(1.8,Equipos!$O$2*SQRT($U15*$W15*$V15*$X15))))</f>
        <v/>
      </c>
      <c r="Z15" s="14">
        <f>IF(OR($Y15="",$T15=""),"",MAX(0.2,($Y15+$T15)/2))</f>
        <v/>
      </c>
      <c r="AA15" s="14">
        <f>IF(OR($Y15="",$T15=""),"",MAX(0.2,($Y15-$T15)/2))</f>
        <v/>
      </c>
      <c r="AE15" s="15">
        <f>IF($D15=AE$1,$R15,IF($E15=AE$1,$S15,AE14))</f>
        <v/>
      </c>
      <c r="AF15" s="15">
        <f>IF($D15=AF$1,$R15,IF($E15=AF$1,$S15,AF14))</f>
        <v/>
      </c>
      <c r="AG15" s="15">
        <f>IF($D15=AG$1,$R15,IF($E15=AG$1,$S15,AG14))</f>
        <v/>
      </c>
      <c r="AH15" s="15">
        <f>IF($D15=AH$1,$R15,IF($E15=AH$1,$S15,AH14))</f>
        <v/>
      </c>
      <c r="AI15" s="15">
        <f>IF($D15=AI$1,$R15,IF($E15=AI$1,$S15,AI14))</f>
        <v/>
      </c>
      <c r="AJ15" s="15">
        <f>IF($D15=AJ$1,$R15,IF($E15=AJ$1,$S15,AJ14))</f>
        <v/>
      </c>
      <c r="AK15" s="15">
        <f>IF($D15=AK$1,$R15,IF($E15=AK$1,$S15,AK14))</f>
        <v/>
      </c>
      <c r="AL15" s="15">
        <f>IF($D15=AL$1,$R15,IF($E15=AL$1,$S15,AL14))</f>
        <v/>
      </c>
      <c r="AM15" s="15">
        <f>IF($D15=AM$1,$R15,IF($E15=AM$1,$S15,AM14))</f>
        <v/>
      </c>
      <c r="AN15" s="15">
        <f>IF($D15=AN$1,$R15,IF($E15=AN$1,$S15,AN14))</f>
        <v/>
      </c>
      <c r="AO15" s="15">
        <f>IF($D15=AO$1,$R15,IF($E15=AO$1,$S15,AO14))</f>
        <v/>
      </c>
      <c r="AP15" s="15">
        <f>IF($D15=AP$1,$R15,IF($E15=AP$1,$S15,AP14))</f>
        <v/>
      </c>
      <c r="AQ15" s="15">
        <f>IF($D15=AQ$1,$R15,IF($E15=AQ$1,$S15,AQ14))</f>
        <v/>
      </c>
      <c r="AR15" s="15">
        <f>IF($D15=AR$1,$R15,IF($E15=AR$1,$S15,AR14))</f>
        <v/>
      </c>
      <c r="AS15" s="15">
        <f>IF($D15=AS$1,$R15,IF($E15=AS$1,$S15,AS14))</f>
        <v/>
      </c>
      <c r="AT15" s="15">
        <f>IF($D15=AT$1,$R15,IF($E15=AT$1,$S15,AT14))</f>
        <v/>
      </c>
      <c r="AU15" s="15">
        <f>IF($D15=AU$1,$R15,IF($E15=AU$1,$S15,AU14))</f>
        <v/>
      </c>
      <c r="AV15" s="15">
        <f>IF($D15=AV$1,$R15,IF($E15=AV$1,$S15,AV14))</f>
        <v/>
      </c>
      <c r="AW15" s="15">
        <f>IF($D15=AW$1,$R15,IF($E15=AW$1,$S15,AW14))</f>
        <v/>
      </c>
      <c r="AX15" s="15">
        <f>IF($D15=AX$1,$R15,IF($E15=AX$1,$S15,AX14))</f>
        <v/>
      </c>
      <c r="AY15" s="15">
        <f>IF($D15=AY$1,$R15,IF($E15=AY$1,$S15,AY14))</f>
        <v/>
      </c>
      <c r="AZ15" s="15">
        <f>IF($D15=AZ$1,$R15,IF($E15=AZ$1,$S15,AZ14))</f>
        <v/>
      </c>
      <c r="BA15" s="15">
        <f>IF($D15=BA$1,$R15,IF($E15=BA$1,$S15,BA14))</f>
        <v/>
      </c>
      <c r="BB15" s="15">
        <f>IF($D15=BB$1,$R15,IF($E15=BB$1,$S15,BB14))</f>
        <v/>
      </c>
      <c r="BC15" s="15">
        <f>IF($D15=BC$1,$R15,IF($E15=BC$1,$S15,BC14))</f>
        <v/>
      </c>
      <c r="BD15" s="15">
        <f>IF($D15=BD$1,$R15,IF($E15=BD$1,$S15,BD14))</f>
        <v/>
      </c>
      <c r="BE15" s="15">
        <f>IF($D15=BE$1,$R15,IF($E15=BE$1,$S15,BE14))</f>
        <v/>
      </c>
      <c r="BF15" s="15">
        <f>IF($D15=BF$1,$R15,IF($E15=BF$1,$S15,BF14))</f>
        <v/>
      </c>
      <c r="BG15" s="15">
        <f>IF($D15=BG$1,$R15,IF($E15=BG$1,$S15,BG14))</f>
        <v/>
      </c>
      <c r="BH15" s="15">
        <f>IF($D15=BH$1,$R15,IF($E15=BH$1,$S15,BH14))</f>
        <v/>
      </c>
      <c r="BI15" s="15">
        <f>IF($D15=BI$1,$R15,IF($E15=BI$1,$S15,BI14))</f>
        <v/>
      </c>
      <c r="BJ15" s="15">
        <f>IF($D15=BJ$1,$R15,IF($E15=BJ$1,$S15,BJ14))</f>
        <v/>
      </c>
      <c r="BK15" s="15">
        <f>IF($D15=BK$1,$R15,IF($E15=BK$1,$S15,BK14))</f>
        <v/>
      </c>
      <c r="BL15" s="15">
        <f>IF($D15=BL$1,$R15,IF($E15=BL$1,$S15,BL14))</f>
        <v/>
      </c>
      <c r="BM15" s="15">
        <f>IF($D15=BM$1,$R15,IF($E15=BM$1,$S15,BM14))</f>
        <v/>
      </c>
      <c r="BN15" s="15">
        <f>IF($D15=BN$1,$R15,IF($E15=BN$1,$S15,BN14))</f>
        <v/>
      </c>
      <c r="BO15" s="15">
        <f>IF($D15=BO$1,$R15,IF($E15=BO$1,$S15,BO14))</f>
        <v/>
      </c>
      <c r="BP15" s="15">
        <f>IF($D15=BP$1,$R15,IF($E15=BP$1,$S15,BP14))</f>
        <v/>
      </c>
      <c r="BQ15" s="15">
        <f>IF($D15=BQ$1,$R15,IF($E15=BQ$1,$S15,BQ14))</f>
        <v/>
      </c>
      <c r="BR15" s="15">
        <f>IF($D15=BR$1,$R15,IF($E15=BR$1,$S15,BR14))</f>
        <v/>
      </c>
      <c r="BS15" s="15">
        <f>IF($D15=BS$1,$R15,IF($E15=BS$1,$S15,BS14))</f>
        <v/>
      </c>
      <c r="BT15" s="15">
        <f>IF($D15=BT$1,$R15,IF($E15=BT$1,$S15,BT14))</f>
        <v/>
      </c>
      <c r="BU15" s="15">
        <f>IF($D15=BU$1,$R15,IF($E15=BU$1,$S15,BU14))</f>
        <v/>
      </c>
      <c r="BV15" s="15">
        <f>IF($D15=BV$1,$R15,IF($E15=BV$1,$S15,BV14))</f>
        <v/>
      </c>
      <c r="BW15" s="15">
        <f>IF($D15=BW$1,$R15,IF($E15=BW$1,$S15,BW14))</f>
        <v/>
      </c>
      <c r="BX15" s="15">
        <f>IF($D15=BX$1,$R15,IF($E15=BX$1,$S15,BX14))</f>
        <v/>
      </c>
      <c r="BY15" s="15">
        <f>IF($D15=BY$1,$R15,IF($E15=BY$1,$S15,BY14))</f>
        <v/>
      </c>
      <c r="BZ15" s="15">
        <f>IF($D15=BZ$1,$R15,IF($E15=BZ$1,$S15,BZ14))</f>
        <v/>
      </c>
    </row>
    <row r="16" ht="15" customHeight="1">
      <c r="A16" s="7">
        <f>Fixture!A15</f>
        <v/>
      </c>
      <c r="B16" s="7">
        <f>Fixture!B15</f>
        <v/>
      </c>
      <c r="C16" s="7">
        <f>Fixture!C15</f>
        <v/>
      </c>
      <c r="D16" s="7">
        <f>Fixture!E15</f>
        <v/>
      </c>
      <c r="E16" s="7">
        <f>Fixture!F15</f>
        <v/>
      </c>
      <c r="F16" s="7">
        <f>Fixture!J15</f>
        <v/>
      </c>
      <c r="G16" s="7">
        <f>Fixture!K15</f>
        <v/>
      </c>
      <c r="H16" s="7">
        <f>IF(ISNUMBER(Resultados!B15),1,0)</f>
        <v/>
      </c>
      <c r="I16" s="7">
        <f>IF($H16=1,Resultados!B15,0)</f>
        <v/>
      </c>
      <c r="J16" s="7">
        <f>IF($H16=1,Resultados!C15,0)</f>
        <v/>
      </c>
      <c r="K16" s="12">
        <f>IFERROR(INDEX($AE15:$BZ15,MATCH($D16,$AE$1:$BZ$1,0)),"")</f>
        <v/>
      </c>
      <c r="L16" s="12">
        <f>IFERROR(INDEX($AE15:$BZ15,MATCH($E16,$AE$1:$BZ$1,0)),"")</f>
        <v/>
      </c>
      <c r="M16" s="12">
        <f>IF(OR($K16="",$L16=""),"",($K16+100*$F16)-($L16+100*$G16))</f>
        <v/>
      </c>
      <c r="N16" s="13">
        <f>IF($M16="","",1/(1+10^(-$M16/400)))</f>
        <v/>
      </c>
      <c r="O16" s="7">
        <f>IF(OR($H16=0,$N16=""),"",IF($I16&gt;$J16,1,IF($I16=$J16,0.5,0)))</f>
        <v/>
      </c>
      <c r="P16" s="14">
        <f>IF($O16="","",IF(ABS($I16-$J16)&lt;=1,1,IF(ABS($I16-$J16)=2,1.5,IF(ABS($I16-$J16)=3,1.75,1.75+(ABS($I16-$J16)-3)/8))))</f>
        <v/>
      </c>
      <c r="Q16" s="14">
        <f>IF($O16="",0,Equipos!$O$4*$P16*($O16-$N16))</f>
        <v/>
      </c>
      <c r="R16" s="12">
        <f>IF($K16="","",$K16+$Q16)</f>
        <v/>
      </c>
      <c r="S16" s="12">
        <f>IF($L16="","",$L16-$Q16)</f>
        <v/>
      </c>
      <c r="T16" s="14">
        <f>IF($M16="","",Equipos!$O$3*$M16)</f>
        <v/>
      </c>
      <c r="U16" s="14">
        <f>IFERROR(VLOOKUP($D16,Equipos!$A:$H,6,0),"")</f>
        <v/>
      </c>
      <c r="V16" s="14">
        <f>IFERROR(VLOOKUP($D16,Equipos!$A:$H,7,0),"")</f>
        <v/>
      </c>
      <c r="W16" s="14">
        <f>IFERROR(VLOOKUP($E16,Equipos!$A:$H,6,0),"")</f>
        <v/>
      </c>
      <c r="X16" s="14">
        <f>IFERROR(VLOOKUP($E16,Equipos!$A:$H,7,0),"")</f>
        <v/>
      </c>
      <c r="Y16" s="14">
        <f>IF(OR($U16="",$W16=""),"",MIN(3.6,MAX(1.8,Equipos!$O$2*SQRT($U16*$W16*$V16*$X16))))</f>
        <v/>
      </c>
      <c r="Z16" s="14">
        <f>IF(OR($Y16="",$T16=""),"",MAX(0.2,($Y16+$T16)/2))</f>
        <v/>
      </c>
      <c r="AA16" s="14">
        <f>IF(OR($Y16="",$T16=""),"",MAX(0.2,($Y16-$T16)/2))</f>
        <v/>
      </c>
      <c r="AE16" s="15">
        <f>IF($D16=AE$1,$R16,IF($E16=AE$1,$S16,AE15))</f>
        <v/>
      </c>
      <c r="AF16" s="15">
        <f>IF($D16=AF$1,$R16,IF($E16=AF$1,$S16,AF15))</f>
        <v/>
      </c>
      <c r="AG16" s="15">
        <f>IF($D16=AG$1,$R16,IF($E16=AG$1,$S16,AG15))</f>
        <v/>
      </c>
      <c r="AH16" s="15">
        <f>IF($D16=AH$1,$R16,IF($E16=AH$1,$S16,AH15))</f>
        <v/>
      </c>
      <c r="AI16" s="15">
        <f>IF($D16=AI$1,$R16,IF($E16=AI$1,$S16,AI15))</f>
        <v/>
      </c>
      <c r="AJ16" s="15">
        <f>IF($D16=AJ$1,$R16,IF($E16=AJ$1,$S16,AJ15))</f>
        <v/>
      </c>
      <c r="AK16" s="15">
        <f>IF($D16=AK$1,$R16,IF($E16=AK$1,$S16,AK15))</f>
        <v/>
      </c>
      <c r="AL16" s="15">
        <f>IF($D16=AL$1,$R16,IF($E16=AL$1,$S16,AL15))</f>
        <v/>
      </c>
      <c r="AM16" s="15">
        <f>IF($D16=AM$1,$R16,IF($E16=AM$1,$S16,AM15))</f>
        <v/>
      </c>
      <c r="AN16" s="15">
        <f>IF($D16=AN$1,$R16,IF($E16=AN$1,$S16,AN15))</f>
        <v/>
      </c>
      <c r="AO16" s="15">
        <f>IF($D16=AO$1,$R16,IF($E16=AO$1,$S16,AO15))</f>
        <v/>
      </c>
      <c r="AP16" s="15">
        <f>IF($D16=AP$1,$R16,IF($E16=AP$1,$S16,AP15))</f>
        <v/>
      </c>
      <c r="AQ16" s="15">
        <f>IF($D16=AQ$1,$R16,IF($E16=AQ$1,$S16,AQ15))</f>
        <v/>
      </c>
      <c r="AR16" s="15">
        <f>IF($D16=AR$1,$R16,IF($E16=AR$1,$S16,AR15))</f>
        <v/>
      </c>
      <c r="AS16" s="15">
        <f>IF($D16=AS$1,$R16,IF($E16=AS$1,$S16,AS15))</f>
        <v/>
      </c>
      <c r="AT16" s="15">
        <f>IF($D16=AT$1,$R16,IF($E16=AT$1,$S16,AT15))</f>
        <v/>
      </c>
      <c r="AU16" s="15">
        <f>IF($D16=AU$1,$R16,IF($E16=AU$1,$S16,AU15))</f>
        <v/>
      </c>
      <c r="AV16" s="15">
        <f>IF($D16=AV$1,$R16,IF($E16=AV$1,$S16,AV15))</f>
        <v/>
      </c>
      <c r="AW16" s="15">
        <f>IF($D16=AW$1,$R16,IF($E16=AW$1,$S16,AW15))</f>
        <v/>
      </c>
      <c r="AX16" s="15">
        <f>IF($D16=AX$1,$R16,IF($E16=AX$1,$S16,AX15))</f>
        <v/>
      </c>
      <c r="AY16" s="15">
        <f>IF($D16=AY$1,$R16,IF($E16=AY$1,$S16,AY15))</f>
        <v/>
      </c>
      <c r="AZ16" s="15">
        <f>IF($D16=AZ$1,$R16,IF($E16=AZ$1,$S16,AZ15))</f>
        <v/>
      </c>
      <c r="BA16" s="15">
        <f>IF($D16=BA$1,$R16,IF($E16=BA$1,$S16,BA15))</f>
        <v/>
      </c>
      <c r="BB16" s="15">
        <f>IF($D16=BB$1,$R16,IF($E16=BB$1,$S16,BB15))</f>
        <v/>
      </c>
      <c r="BC16" s="15">
        <f>IF($D16=BC$1,$R16,IF($E16=BC$1,$S16,BC15))</f>
        <v/>
      </c>
      <c r="BD16" s="15">
        <f>IF($D16=BD$1,$R16,IF($E16=BD$1,$S16,BD15))</f>
        <v/>
      </c>
      <c r="BE16" s="15">
        <f>IF($D16=BE$1,$R16,IF($E16=BE$1,$S16,BE15))</f>
        <v/>
      </c>
      <c r="BF16" s="15">
        <f>IF($D16=BF$1,$R16,IF($E16=BF$1,$S16,BF15))</f>
        <v/>
      </c>
      <c r="BG16" s="15">
        <f>IF($D16=BG$1,$R16,IF($E16=BG$1,$S16,BG15))</f>
        <v/>
      </c>
      <c r="BH16" s="15">
        <f>IF($D16=BH$1,$R16,IF($E16=BH$1,$S16,BH15))</f>
        <v/>
      </c>
      <c r="BI16" s="15">
        <f>IF($D16=BI$1,$R16,IF($E16=BI$1,$S16,BI15))</f>
        <v/>
      </c>
      <c r="BJ16" s="15">
        <f>IF($D16=BJ$1,$R16,IF($E16=BJ$1,$S16,BJ15))</f>
        <v/>
      </c>
      <c r="BK16" s="15">
        <f>IF($D16=BK$1,$R16,IF($E16=BK$1,$S16,BK15))</f>
        <v/>
      </c>
      <c r="BL16" s="15">
        <f>IF($D16=BL$1,$R16,IF($E16=BL$1,$S16,BL15))</f>
        <v/>
      </c>
      <c r="BM16" s="15">
        <f>IF($D16=BM$1,$R16,IF($E16=BM$1,$S16,BM15))</f>
        <v/>
      </c>
      <c r="BN16" s="15">
        <f>IF($D16=BN$1,$R16,IF($E16=BN$1,$S16,BN15))</f>
        <v/>
      </c>
      <c r="BO16" s="15">
        <f>IF($D16=BO$1,$R16,IF($E16=BO$1,$S16,BO15))</f>
        <v/>
      </c>
      <c r="BP16" s="15">
        <f>IF($D16=BP$1,$R16,IF($E16=BP$1,$S16,BP15))</f>
        <v/>
      </c>
      <c r="BQ16" s="15">
        <f>IF($D16=BQ$1,$R16,IF($E16=BQ$1,$S16,BQ15))</f>
        <v/>
      </c>
      <c r="BR16" s="15">
        <f>IF($D16=BR$1,$R16,IF($E16=BR$1,$S16,BR15))</f>
        <v/>
      </c>
      <c r="BS16" s="15">
        <f>IF($D16=BS$1,$R16,IF($E16=BS$1,$S16,BS15))</f>
        <v/>
      </c>
      <c r="BT16" s="15">
        <f>IF($D16=BT$1,$R16,IF($E16=BT$1,$S16,BT15))</f>
        <v/>
      </c>
      <c r="BU16" s="15">
        <f>IF($D16=BU$1,$R16,IF($E16=BU$1,$S16,BU15))</f>
        <v/>
      </c>
      <c r="BV16" s="15">
        <f>IF($D16=BV$1,$R16,IF($E16=BV$1,$S16,BV15))</f>
        <v/>
      </c>
      <c r="BW16" s="15">
        <f>IF($D16=BW$1,$R16,IF($E16=BW$1,$S16,BW15))</f>
        <v/>
      </c>
      <c r="BX16" s="15">
        <f>IF($D16=BX$1,$R16,IF($E16=BX$1,$S16,BX15))</f>
        <v/>
      </c>
      <c r="BY16" s="15">
        <f>IF($D16=BY$1,$R16,IF($E16=BY$1,$S16,BY15))</f>
        <v/>
      </c>
      <c r="BZ16" s="15">
        <f>IF($D16=BZ$1,$R16,IF($E16=BZ$1,$S16,BZ15))</f>
        <v/>
      </c>
    </row>
    <row r="17" ht="15" customHeight="1">
      <c r="A17" s="7">
        <f>Fixture!A16</f>
        <v/>
      </c>
      <c r="B17" s="7">
        <f>Fixture!B16</f>
        <v/>
      </c>
      <c r="C17" s="7">
        <f>Fixture!C16</f>
        <v/>
      </c>
      <c r="D17" s="7">
        <f>Fixture!E16</f>
        <v/>
      </c>
      <c r="E17" s="7">
        <f>Fixture!F16</f>
        <v/>
      </c>
      <c r="F17" s="7">
        <f>Fixture!J16</f>
        <v/>
      </c>
      <c r="G17" s="7">
        <f>Fixture!K16</f>
        <v/>
      </c>
      <c r="H17" s="7">
        <f>IF(ISNUMBER(Resultados!B16),1,0)</f>
        <v/>
      </c>
      <c r="I17" s="7">
        <f>IF($H17=1,Resultados!B16,0)</f>
        <v/>
      </c>
      <c r="J17" s="7">
        <f>IF($H17=1,Resultados!C16,0)</f>
        <v/>
      </c>
      <c r="K17" s="12">
        <f>IFERROR(INDEX($AE16:$BZ16,MATCH($D17,$AE$1:$BZ$1,0)),"")</f>
        <v/>
      </c>
      <c r="L17" s="12">
        <f>IFERROR(INDEX($AE16:$BZ16,MATCH($E17,$AE$1:$BZ$1,0)),"")</f>
        <v/>
      </c>
      <c r="M17" s="12">
        <f>IF(OR($K17="",$L17=""),"",($K17+100*$F17)-($L17+100*$G17))</f>
        <v/>
      </c>
      <c r="N17" s="13">
        <f>IF($M17="","",1/(1+10^(-$M17/400)))</f>
        <v/>
      </c>
      <c r="O17" s="7">
        <f>IF(OR($H17=0,$N17=""),"",IF($I17&gt;$J17,1,IF($I17=$J17,0.5,0)))</f>
        <v/>
      </c>
      <c r="P17" s="14">
        <f>IF($O17="","",IF(ABS($I17-$J17)&lt;=1,1,IF(ABS($I17-$J17)=2,1.5,IF(ABS($I17-$J17)=3,1.75,1.75+(ABS($I17-$J17)-3)/8))))</f>
        <v/>
      </c>
      <c r="Q17" s="14">
        <f>IF($O17="",0,Equipos!$O$4*$P17*($O17-$N17))</f>
        <v/>
      </c>
      <c r="R17" s="12">
        <f>IF($K17="","",$K17+$Q17)</f>
        <v/>
      </c>
      <c r="S17" s="12">
        <f>IF($L17="","",$L17-$Q17)</f>
        <v/>
      </c>
      <c r="T17" s="14">
        <f>IF($M17="","",Equipos!$O$3*$M17)</f>
        <v/>
      </c>
      <c r="U17" s="14">
        <f>IFERROR(VLOOKUP($D17,Equipos!$A:$H,6,0),"")</f>
        <v/>
      </c>
      <c r="V17" s="14">
        <f>IFERROR(VLOOKUP($D17,Equipos!$A:$H,7,0),"")</f>
        <v/>
      </c>
      <c r="W17" s="14">
        <f>IFERROR(VLOOKUP($E17,Equipos!$A:$H,6,0),"")</f>
        <v/>
      </c>
      <c r="X17" s="14">
        <f>IFERROR(VLOOKUP($E17,Equipos!$A:$H,7,0),"")</f>
        <v/>
      </c>
      <c r="Y17" s="14">
        <f>IF(OR($U17="",$W17=""),"",MIN(3.6,MAX(1.8,Equipos!$O$2*SQRT($U17*$W17*$V17*$X17))))</f>
        <v/>
      </c>
      <c r="Z17" s="14">
        <f>IF(OR($Y17="",$T17=""),"",MAX(0.2,($Y17+$T17)/2))</f>
        <v/>
      </c>
      <c r="AA17" s="14">
        <f>IF(OR($Y17="",$T17=""),"",MAX(0.2,($Y17-$T17)/2))</f>
        <v/>
      </c>
      <c r="AE17" s="15">
        <f>IF($D17=AE$1,$R17,IF($E17=AE$1,$S17,AE16))</f>
        <v/>
      </c>
      <c r="AF17" s="15">
        <f>IF($D17=AF$1,$R17,IF($E17=AF$1,$S17,AF16))</f>
        <v/>
      </c>
      <c r="AG17" s="15">
        <f>IF($D17=AG$1,$R17,IF($E17=AG$1,$S17,AG16))</f>
        <v/>
      </c>
      <c r="AH17" s="15">
        <f>IF($D17=AH$1,$R17,IF($E17=AH$1,$S17,AH16))</f>
        <v/>
      </c>
      <c r="AI17" s="15">
        <f>IF($D17=AI$1,$R17,IF($E17=AI$1,$S17,AI16))</f>
        <v/>
      </c>
      <c r="AJ17" s="15">
        <f>IF($D17=AJ$1,$R17,IF($E17=AJ$1,$S17,AJ16))</f>
        <v/>
      </c>
      <c r="AK17" s="15">
        <f>IF($D17=AK$1,$R17,IF($E17=AK$1,$S17,AK16))</f>
        <v/>
      </c>
      <c r="AL17" s="15">
        <f>IF($D17=AL$1,$R17,IF($E17=AL$1,$S17,AL16))</f>
        <v/>
      </c>
      <c r="AM17" s="15">
        <f>IF($D17=AM$1,$R17,IF($E17=AM$1,$S17,AM16))</f>
        <v/>
      </c>
      <c r="AN17" s="15">
        <f>IF($D17=AN$1,$R17,IF($E17=AN$1,$S17,AN16))</f>
        <v/>
      </c>
      <c r="AO17" s="15">
        <f>IF($D17=AO$1,$R17,IF($E17=AO$1,$S17,AO16))</f>
        <v/>
      </c>
      <c r="AP17" s="15">
        <f>IF($D17=AP$1,$R17,IF($E17=AP$1,$S17,AP16))</f>
        <v/>
      </c>
      <c r="AQ17" s="15">
        <f>IF($D17=AQ$1,$R17,IF($E17=AQ$1,$S17,AQ16))</f>
        <v/>
      </c>
      <c r="AR17" s="15">
        <f>IF($D17=AR$1,$R17,IF($E17=AR$1,$S17,AR16))</f>
        <v/>
      </c>
      <c r="AS17" s="15">
        <f>IF($D17=AS$1,$R17,IF($E17=AS$1,$S17,AS16))</f>
        <v/>
      </c>
      <c r="AT17" s="15">
        <f>IF($D17=AT$1,$R17,IF($E17=AT$1,$S17,AT16))</f>
        <v/>
      </c>
      <c r="AU17" s="15">
        <f>IF($D17=AU$1,$R17,IF($E17=AU$1,$S17,AU16))</f>
        <v/>
      </c>
      <c r="AV17" s="15">
        <f>IF($D17=AV$1,$R17,IF($E17=AV$1,$S17,AV16))</f>
        <v/>
      </c>
      <c r="AW17" s="15">
        <f>IF($D17=AW$1,$R17,IF($E17=AW$1,$S17,AW16))</f>
        <v/>
      </c>
      <c r="AX17" s="15">
        <f>IF($D17=AX$1,$R17,IF($E17=AX$1,$S17,AX16))</f>
        <v/>
      </c>
      <c r="AY17" s="15">
        <f>IF($D17=AY$1,$R17,IF($E17=AY$1,$S17,AY16))</f>
        <v/>
      </c>
      <c r="AZ17" s="15">
        <f>IF($D17=AZ$1,$R17,IF($E17=AZ$1,$S17,AZ16))</f>
        <v/>
      </c>
      <c r="BA17" s="15">
        <f>IF($D17=BA$1,$R17,IF($E17=BA$1,$S17,BA16))</f>
        <v/>
      </c>
      <c r="BB17" s="15">
        <f>IF($D17=BB$1,$R17,IF($E17=BB$1,$S17,BB16))</f>
        <v/>
      </c>
      <c r="BC17" s="15">
        <f>IF($D17=BC$1,$R17,IF($E17=BC$1,$S17,BC16))</f>
        <v/>
      </c>
      <c r="BD17" s="15">
        <f>IF($D17=BD$1,$R17,IF($E17=BD$1,$S17,BD16))</f>
        <v/>
      </c>
      <c r="BE17" s="15">
        <f>IF($D17=BE$1,$R17,IF($E17=BE$1,$S17,BE16))</f>
        <v/>
      </c>
      <c r="BF17" s="15">
        <f>IF($D17=BF$1,$R17,IF($E17=BF$1,$S17,BF16))</f>
        <v/>
      </c>
      <c r="BG17" s="15">
        <f>IF($D17=BG$1,$R17,IF($E17=BG$1,$S17,BG16))</f>
        <v/>
      </c>
      <c r="BH17" s="15">
        <f>IF($D17=BH$1,$R17,IF($E17=BH$1,$S17,BH16))</f>
        <v/>
      </c>
      <c r="BI17" s="15">
        <f>IF($D17=BI$1,$R17,IF($E17=BI$1,$S17,BI16))</f>
        <v/>
      </c>
      <c r="BJ17" s="15">
        <f>IF($D17=BJ$1,$R17,IF($E17=BJ$1,$S17,BJ16))</f>
        <v/>
      </c>
      <c r="BK17" s="15">
        <f>IF($D17=BK$1,$R17,IF($E17=BK$1,$S17,BK16))</f>
        <v/>
      </c>
      <c r="BL17" s="15">
        <f>IF($D17=BL$1,$R17,IF($E17=BL$1,$S17,BL16))</f>
        <v/>
      </c>
      <c r="BM17" s="15">
        <f>IF($D17=BM$1,$R17,IF($E17=BM$1,$S17,BM16))</f>
        <v/>
      </c>
      <c r="BN17" s="15">
        <f>IF($D17=BN$1,$R17,IF($E17=BN$1,$S17,BN16))</f>
        <v/>
      </c>
      <c r="BO17" s="15">
        <f>IF($D17=BO$1,$R17,IF($E17=BO$1,$S17,BO16))</f>
        <v/>
      </c>
      <c r="BP17" s="15">
        <f>IF($D17=BP$1,$R17,IF($E17=BP$1,$S17,BP16))</f>
        <v/>
      </c>
      <c r="BQ17" s="15">
        <f>IF($D17=BQ$1,$R17,IF($E17=BQ$1,$S17,BQ16))</f>
        <v/>
      </c>
      <c r="BR17" s="15">
        <f>IF($D17=BR$1,$R17,IF($E17=BR$1,$S17,BR16))</f>
        <v/>
      </c>
      <c r="BS17" s="15">
        <f>IF($D17=BS$1,$R17,IF($E17=BS$1,$S17,BS16))</f>
        <v/>
      </c>
      <c r="BT17" s="15">
        <f>IF($D17=BT$1,$R17,IF($E17=BT$1,$S17,BT16))</f>
        <v/>
      </c>
      <c r="BU17" s="15">
        <f>IF($D17=BU$1,$R17,IF($E17=BU$1,$S17,BU16))</f>
        <v/>
      </c>
      <c r="BV17" s="15">
        <f>IF($D17=BV$1,$R17,IF($E17=BV$1,$S17,BV16))</f>
        <v/>
      </c>
      <c r="BW17" s="15">
        <f>IF($D17=BW$1,$R17,IF($E17=BW$1,$S17,BW16))</f>
        <v/>
      </c>
      <c r="BX17" s="15">
        <f>IF($D17=BX$1,$R17,IF($E17=BX$1,$S17,BX16))</f>
        <v/>
      </c>
      <c r="BY17" s="15">
        <f>IF($D17=BY$1,$R17,IF($E17=BY$1,$S17,BY16))</f>
        <v/>
      </c>
      <c r="BZ17" s="15">
        <f>IF($D17=BZ$1,$R17,IF($E17=BZ$1,$S17,BZ16))</f>
        <v/>
      </c>
    </row>
    <row r="18" ht="15" customHeight="1">
      <c r="A18" s="7">
        <f>Fixture!A17</f>
        <v/>
      </c>
      <c r="B18" s="7">
        <f>Fixture!B17</f>
        <v/>
      </c>
      <c r="C18" s="7">
        <f>Fixture!C17</f>
        <v/>
      </c>
      <c r="D18" s="7">
        <f>Fixture!E17</f>
        <v/>
      </c>
      <c r="E18" s="7">
        <f>Fixture!F17</f>
        <v/>
      </c>
      <c r="F18" s="7">
        <f>Fixture!J17</f>
        <v/>
      </c>
      <c r="G18" s="7">
        <f>Fixture!K17</f>
        <v/>
      </c>
      <c r="H18" s="7">
        <f>IF(ISNUMBER(Resultados!B17),1,0)</f>
        <v/>
      </c>
      <c r="I18" s="7">
        <f>IF($H18=1,Resultados!B17,0)</f>
        <v/>
      </c>
      <c r="J18" s="7">
        <f>IF($H18=1,Resultados!C17,0)</f>
        <v/>
      </c>
      <c r="K18" s="12">
        <f>IFERROR(INDEX($AE17:$BZ17,MATCH($D18,$AE$1:$BZ$1,0)),"")</f>
        <v/>
      </c>
      <c r="L18" s="12">
        <f>IFERROR(INDEX($AE17:$BZ17,MATCH($E18,$AE$1:$BZ$1,0)),"")</f>
        <v/>
      </c>
      <c r="M18" s="12">
        <f>IF(OR($K18="",$L18=""),"",($K18+100*$F18)-($L18+100*$G18))</f>
        <v/>
      </c>
      <c r="N18" s="13">
        <f>IF($M18="","",1/(1+10^(-$M18/400)))</f>
        <v/>
      </c>
      <c r="O18" s="7">
        <f>IF(OR($H18=0,$N18=""),"",IF($I18&gt;$J18,1,IF($I18=$J18,0.5,0)))</f>
        <v/>
      </c>
      <c r="P18" s="14">
        <f>IF($O18="","",IF(ABS($I18-$J18)&lt;=1,1,IF(ABS($I18-$J18)=2,1.5,IF(ABS($I18-$J18)=3,1.75,1.75+(ABS($I18-$J18)-3)/8))))</f>
        <v/>
      </c>
      <c r="Q18" s="14">
        <f>IF($O18="",0,Equipos!$O$4*$P18*($O18-$N18))</f>
        <v/>
      </c>
      <c r="R18" s="12">
        <f>IF($K18="","",$K18+$Q18)</f>
        <v/>
      </c>
      <c r="S18" s="12">
        <f>IF($L18="","",$L18-$Q18)</f>
        <v/>
      </c>
      <c r="T18" s="14">
        <f>IF($M18="","",Equipos!$O$3*$M18)</f>
        <v/>
      </c>
      <c r="U18" s="14">
        <f>IFERROR(VLOOKUP($D18,Equipos!$A:$H,6,0),"")</f>
        <v/>
      </c>
      <c r="V18" s="14">
        <f>IFERROR(VLOOKUP($D18,Equipos!$A:$H,7,0),"")</f>
        <v/>
      </c>
      <c r="W18" s="14">
        <f>IFERROR(VLOOKUP($E18,Equipos!$A:$H,6,0),"")</f>
        <v/>
      </c>
      <c r="X18" s="14">
        <f>IFERROR(VLOOKUP($E18,Equipos!$A:$H,7,0),"")</f>
        <v/>
      </c>
      <c r="Y18" s="14">
        <f>IF(OR($U18="",$W18=""),"",MIN(3.6,MAX(1.8,Equipos!$O$2*SQRT($U18*$W18*$V18*$X18))))</f>
        <v/>
      </c>
      <c r="Z18" s="14">
        <f>IF(OR($Y18="",$T18=""),"",MAX(0.2,($Y18+$T18)/2))</f>
        <v/>
      </c>
      <c r="AA18" s="14">
        <f>IF(OR($Y18="",$T18=""),"",MAX(0.2,($Y18-$T18)/2))</f>
        <v/>
      </c>
      <c r="AE18" s="15">
        <f>IF($D18=AE$1,$R18,IF($E18=AE$1,$S18,AE17))</f>
        <v/>
      </c>
      <c r="AF18" s="15">
        <f>IF($D18=AF$1,$R18,IF($E18=AF$1,$S18,AF17))</f>
        <v/>
      </c>
      <c r="AG18" s="15">
        <f>IF($D18=AG$1,$R18,IF($E18=AG$1,$S18,AG17))</f>
        <v/>
      </c>
      <c r="AH18" s="15">
        <f>IF($D18=AH$1,$R18,IF($E18=AH$1,$S18,AH17))</f>
        <v/>
      </c>
      <c r="AI18" s="15">
        <f>IF($D18=AI$1,$R18,IF($E18=AI$1,$S18,AI17))</f>
        <v/>
      </c>
      <c r="AJ18" s="15">
        <f>IF($D18=AJ$1,$R18,IF($E18=AJ$1,$S18,AJ17))</f>
        <v/>
      </c>
      <c r="AK18" s="15">
        <f>IF($D18=AK$1,$R18,IF($E18=AK$1,$S18,AK17))</f>
        <v/>
      </c>
      <c r="AL18" s="15">
        <f>IF($D18=AL$1,$R18,IF($E18=AL$1,$S18,AL17))</f>
        <v/>
      </c>
      <c r="AM18" s="15">
        <f>IF($D18=AM$1,$R18,IF($E18=AM$1,$S18,AM17))</f>
        <v/>
      </c>
      <c r="AN18" s="15">
        <f>IF($D18=AN$1,$R18,IF($E18=AN$1,$S18,AN17))</f>
        <v/>
      </c>
      <c r="AO18" s="15">
        <f>IF($D18=AO$1,$R18,IF($E18=AO$1,$S18,AO17))</f>
        <v/>
      </c>
      <c r="AP18" s="15">
        <f>IF($D18=AP$1,$R18,IF($E18=AP$1,$S18,AP17))</f>
        <v/>
      </c>
      <c r="AQ18" s="15">
        <f>IF($D18=AQ$1,$R18,IF($E18=AQ$1,$S18,AQ17))</f>
        <v/>
      </c>
      <c r="AR18" s="15">
        <f>IF($D18=AR$1,$R18,IF($E18=AR$1,$S18,AR17))</f>
        <v/>
      </c>
      <c r="AS18" s="15">
        <f>IF($D18=AS$1,$R18,IF($E18=AS$1,$S18,AS17))</f>
        <v/>
      </c>
      <c r="AT18" s="15">
        <f>IF($D18=AT$1,$R18,IF($E18=AT$1,$S18,AT17))</f>
        <v/>
      </c>
      <c r="AU18" s="15">
        <f>IF($D18=AU$1,$R18,IF($E18=AU$1,$S18,AU17))</f>
        <v/>
      </c>
      <c r="AV18" s="15">
        <f>IF($D18=AV$1,$R18,IF($E18=AV$1,$S18,AV17))</f>
        <v/>
      </c>
      <c r="AW18" s="15">
        <f>IF($D18=AW$1,$R18,IF($E18=AW$1,$S18,AW17))</f>
        <v/>
      </c>
      <c r="AX18" s="15">
        <f>IF($D18=AX$1,$R18,IF($E18=AX$1,$S18,AX17))</f>
        <v/>
      </c>
      <c r="AY18" s="15">
        <f>IF($D18=AY$1,$R18,IF($E18=AY$1,$S18,AY17))</f>
        <v/>
      </c>
      <c r="AZ18" s="15">
        <f>IF($D18=AZ$1,$R18,IF($E18=AZ$1,$S18,AZ17))</f>
        <v/>
      </c>
      <c r="BA18" s="15">
        <f>IF($D18=BA$1,$R18,IF($E18=BA$1,$S18,BA17))</f>
        <v/>
      </c>
      <c r="BB18" s="15">
        <f>IF($D18=BB$1,$R18,IF($E18=BB$1,$S18,BB17))</f>
        <v/>
      </c>
      <c r="BC18" s="15">
        <f>IF($D18=BC$1,$R18,IF($E18=BC$1,$S18,BC17))</f>
        <v/>
      </c>
      <c r="BD18" s="15">
        <f>IF($D18=BD$1,$R18,IF($E18=BD$1,$S18,BD17))</f>
        <v/>
      </c>
      <c r="BE18" s="15">
        <f>IF($D18=BE$1,$R18,IF($E18=BE$1,$S18,BE17))</f>
        <v/>
      </c>
      <c r="BF18" s="15">
        <f>IF($D18=BF$1,$R18,IF($E18=BF$1,$S18,BF17))</f>
        <v/>
      </c>
      <c r="BG18" s="15">
        <f>IF($D18=BG$1,$R18,IF($E18=BG$1,$S18,BG17))</f>
        <v/>
      </c>
      <c r="BH18" s="15">
        <f>IF($D18=BH$1,$R18,IF($E18=BH$1,$S18,BH17))</f>
        <v/>
      </c>
      <c r="BI18" s="15">
        <f>IF($D18=BI$1,$R18,IF($E18=BI$1,$S18,BI17))</f>
        <v/>
      </c>
      <c r="BJ18" s="15">
        <f>IF($D18=BJ$1,$R18,IF($E18=BJ$1,$S18,BJ17))</f>
        <v/>
      </c>
      <c r="BK18" s="15">
        <f>IF($D18=BK$1,$R18,IF($E18=BK$1,$S18,BK17))</f>
        <v/>
      </c>
      <c r="BL18" s="15">
        <f>IF($D18=BL$1,$R18,IF($E18=BL$1,$S18,BL17))</f>
        <v/>
      </c>
      <c r="BM18" s="15">
        <f>IF($D18=BM$1,$R18,IF($E18=BM$1,$S18,BM17))</f>
        <v/>
      </c>
      <c r="BN18" s="15">
        <f>IF($D18=BN$1,$R18,IF($E18=BN$1,$S18,BN17))</f>
        <v/>
      </c>
      <c r="BO18" s="15">
        <f>IF($D18=BO$1,$R18,IF($E18=BO$1,$S18,BO17))</f>
        <v/>
      </c>
      <c r="BP18" s="15">
        <f>IF($D18=BP$1,$R18,IF($E18=BP$1,$S18,BP17))</f>
        <v/>
      </c>
      <c r="BQ18" s="15">
        <f>IF($D18=BQ$1,$R18,IF($E18=BQ$1,$S18,BQ17))</f>
        <v/>
      </c>
      <c r="BR18" s="15">
        <f>IF($D18=BR$1,$R18,IF($E18=BR$1,$S18,BR17))</f>
        <v/>
      </c>
      <c r="BS18" s="15">
        <f>IF($D18=BS$1,$R18,IF($E18=BS$1,$S18,BS17))</f>
        <v/>
      </c>
      <c r="BT18" s="15">
        <f>IF($D18=BT$1,$R18,IF($E18=BT$1,$S18,BT17))</f>
        <v/>
      </c>
      <c r="BU18" s="15">
        <f>IF($D18=BU$1,$R18,IF($E18=BU$1,$S18,BU17))</f>
        <v/>
      </c>
      <c r="BV18" s="15">
        <f>IF($D18=BV$1,$R18,IF($E18=BV$1,$S18,BV17))</f>
        <v/>
      </c>
      <c r="BW18" s="15">
        <f>IF($D18=BW$1,$R18,IF($E18=BW$1,$S18,BW17))</f>
        <v/>
      </c>
      <c r="BX18" s="15">
        <f>IF($D18=BX$1,$R18,IF($E18=BX$1,$S18,BX17))</f>
        <v/>
      </c>
      <c r="BY18" s="15">
        <f>IF($D18=BY$1,$R18,IF($E18=BY$1,$S18,BY17))</f>
        <v/>
      </c>
      <c r="BZ18" s="15">
        <f>IF($D18=BZ$1,$R18,IF($E18=BZ$1,$S18,BZ17))</f>
        <v/>
      </c>
    </row>
    <row r="19" ht="15" customHeight="1">
      <c r="A19" s="7">
        <f>Fixture!A18</f>
        <v/>
      </c>
      <c r="B19" s="7">
        <f>Fixture!B18</f>
        <v/>
      </c>
      <c r="C19" s="7">
        <f>Fixture!C18</f>
        <v/>
      </c>
      <c r="D19" s="7">
        <f>Fixture!E18</f>
        <v/>
      </c>
      <c r="E19" s="7">
        <f>Fixture!F18</f>
        <v/>
      </c>
      <c r="F19" s="7">
        <f>Fixture!J18</f>
        <v/>
      </c>
      <c r="G19" s="7">
        <f>Fixture!K18</f>
        <v/>
      </c>
      <c r="H19" s="7">
        <f>IF(ISNUMBER(Resultados!B18),1,0)</f>
        <v/>
      </c>
      <c r="I19" s="7">
        <f>IF($H19=1,Resultados!B18,0)</f>
        <v/>
      </c>
      <c r="J19" s="7">
        <f>IF($H19=1,Resultados!C18,0)</f>
        <v/>
      </c>
      <c r="K19" s="12">
        <f>IFERROR(INDEX($AE18:$BZ18,MATCH($D19,$AE$1:$BZ$1,0)),"")</f>
        <v/>
      </c>
      <c r="L19" s="12">
        <f>IFERROR(INDEX($AE18:$BZ18,MATCH($E19,$AE$1:$BZ$1,0)),"")</f>
        <v/>
      </c>
      <c r="M19" s="12">
        <f>IF(OR($K19="",$L19=""),"",($K19+100*$F19)-($L19+100*$G19))</f>
        <v/>
      </c>
      <c r="N19" s="13">
        <f>IF($M19="","",1/(1+10^(-$M19/400)))</f>
        <v/>
      </c>
      <c r="O19" s="7">
        <f>IF(OR($H19=0,$N19=""),"",IF($I19&gt;$J19,1,IF($I19=$J19,0.5,0)))</f>
        <v/>
      </c>
      <c r="P19" s="14">
        <f>IF($O19="","",IF(ABS($I19-$J19)&lt;=1,1,IF(ABS($I19-$J19)=2,1.5,IF(ABS($I19-$J19)=3,1.75,1.75+(ABS($I19-$J19)-3)/8))))</f>
        <v/>
      </c>
      <c r="Q19" s="14">
        <f>IF($O19="",0,Equipos!$O$4*$P19*($O19-$N19))</f>
        <v/>
      </c>
      <c r="R19" s="12">
        <f>IF($K19="","",$K19+$Q19)</f>
        <v/>
      </c>
      <c r="S19" s="12">
        <f>IF($L19="","",$L19-$Q19)</f>
        <v/>
      </c>
      <c r="T19" s="14">
        <f>IF($M19="","",Equipos!$O$3*$M19)</f>
        <v/>
      </c>
      <c r="U19" s="14">
        <f>IFERROR(VLOOKUP($D19,Equipos!$A:$H,6,0),"")</f>
        <v/>
      </c>
      <c r="V19" s="14">
        <f>IFERROR(VLOOKUP($D19,Equipos!$A:$H,7,0),"")</f>
        <v/>
      </c>
      <c r="W19" s="14">
        <f>IFERROR(VLOOKUP($E19,Equipos!$A:$H,6,0),"")</f>
        <v/>
      </c>
      <c r="X19" s="14">
        <f>IFERROR(VLOOKUP($E19,Equipos!$A:$H,7,0),"")</f>
        <v/>
      </c>
      <c r="Y19" s="14">
        <f>IF(OR($U19="",$W19=""),"",MIN(3.6,MAX(1.8,Equipos!$O$2*SQRT($U19*$W19*$V19*$X19))))</f>
        <v/>
      </c>
      <c r="Z19" s="14">
        <f>IF(OR($Y19="",$T19=""),"",MAX(0.2,($Y19+$T19)/2))</f>
        <v/>
      </c>
      <c r="AA19" s="14">
        <f>IF(OR($Y19="",$T19=""),"",MAX(0.2,($Y19-$T19)/2))</f>
        <v/>
      </c>
      <c r="AE19" s="15">
        <f>IF($D19=AE$1,$R19,IF($E19=AE$1,$S19,AE18))</f>
        <v/>
      </c>
      <c r="AF19" s="15">
        <f>IF($D19=AF$1,$R19,IF($E19=AF$1,$S19,AF18))</f>
        <v/>
      </c>
      <c r="AG19" s="15">
        <f>IF($D19=AG$1,$R19,IF($E19=AG$1,$S19,AG18))</f>
        <v/>
      </c>
      <c r="AH19" s="15">
        <f>IF($D19=AH$1,$R19,IF($E19=AH$1,$S19,AH18))</f>
        <v/>
      </c>
      <c r="AI19" s="15">
        <f>IF($D19=AI$1,$R19,IF($E19=AI$1,$S19,AI18))</f>
        <v/>
      </c>
      <c r="AJ19" s="15">
        <f>IF($D19=AJ$1,$R19,IF($E19=AJ$1,$S19,AJ18))</f>
        <v/>
      </c>
      <c r="AK19" s="15">
        <f>IF($D19=AK$1,$R19,IF($E19=AK$1,$S19,AK18))</f>
        <v/>
      </c>
      <c r="AL19" s="15">
        <f>IF($D19=AL$1,$R19,IF($E19=AL$1,$S19,AL18))</f>
        <v/>
      </c>
      <c r="AM19" s="15">
        <f>IF($D19=AM$1,$R19,IF($E19=AM$1,$S19,AM18))</f>
        <v/>
      </c>
      <c r="AN19" s="15">
        <f>IF($D19=AN$1,$R19,IF($E19=AN$1,$S19,AN18))</f>
        <v/>
      </c>
      <c r="AO19" s="15">
        <f>IF($D19=AO$1,$R19,IF($E19=AO$1,$S19,AO18))</f>
        <v/>
      </c>
      <c r="AP19" s="15">
        <f>IF($D19=AP$1,$R19,IF($E19=AP$1,$S19,AP18))</f>
        <v/>
      </c>
      <c r="AQ19" s="15">
        <f>IF($D19=AQ$1,$R19,IF($E19=AQ$1,$S19,AQ18))</f>
        <v/>
      </c>
      <c r="AR19" s="15">
        <f>IF($D19=AR$1,$R19,IF($E19=AR$1,$S19,AR18))</f>
        <v/>
      </c>
      <c r="AS19" s="15">
        <f>IF($D19=AS$1,$R19,IF($E19=AS$1,$S19,AS18))</f>
        <v/>
      </c>
      <c r="AT19" s="15">
        <f>IF($D19=AT$1,$R19,IF($E19=AT$1,$S19,AT18))</f>
        <v/>
      </c>
      <c r="AU19" s="15">
        <f>IF($D19=AU$1,$R19,IF($E19=AU$1,$S19,AU18))</f>
        <v/>
      </c>
      <c r="AV19" s="15">
        <f>IF($D19=AV$1,$R19,IF($E19=AV$1,$S19,AV18))</f>
        <v/>
      </c>
      <c r="AW19" s="15">
        <f>IF($D19=AW$1,$R19,IF($E19=AW$1,$S19,AW18))</f>
        <v/>
      </c>
      <c r="AX19" s="15">
        <f>IF($D19=AX$1,$R19,IF($E19=AX$1,$S19,AX18))</f>
        <v/>
      </c>
      <c r="AY19" s="15">
        <f>IF($D19=AY$1,$R19,IF($E19=AY$1,$S19,AY18))</f>
        <v/>
      </c>
      <c r="AZ19" s="15">
        <f>IF($D19=AZ$1,$R19,IF($E19=AZ$1,$S19,AZ18))</f>
        <v/>
      </c>
      <c r="BA19" s="15">
        <f>IF($D19=BA$1,$R19,IF($E19=BA$1,$S19,BA18))</f>
        <v/>
      </c>
      <c r="BB19" s="15">
        <f>IF($D19=BB$1,$R19,IF($E19=BB$1,$S19,BB18))</f>
        <v/>
      </c>
      <c r="BC19" s="15">
        <f>IF($D19=BC$1,$R19,IF($E19=BC$1,$S19,BC18))</f>
        <v/>
      </c>
      <c r="BD19" s="15">
        <f>IF($D19=BD$1,$R19,IF($E19=BD$1,$S19,BD18))</f>
        <v/>
      </c>
      <c r="BE19" s="15">
        <f>IF($D19=BE$1,$R19,IF($E19=BE$1,$S19,BE18))</f>
        <v/>
      </c>
      <c r="BF19" s="15">
        <f>IF($D19=BF$1,$R19,IF($E19=BF$1,$S19,BF18))</f>
        <v/>
      </c>
      <c r="BG19" s="15">
        <f>IF($D19=BG$1,$R19,IF($E19=BG$1,$S19,BG18))</f>
        <v/>
      </c>
      <c r="BH19" s="15">
        <f>IF($D19=BH$1,$R19,IF($E19=BH$1,$S19,BH18))</f>
        <v/>
      </c>
      <c r="BI19" s="15">
        <f>IF($D19=BI$1,$R19,IF($E19=BI$1,$S19,BI18))</f>
        <v/>
      </c>
      <c r="BJ19" s="15">
        <f>IF($D19=BJ$1,$R19,IF($E19=BJ$1,$S19,BJ18))</f>
        <v/>
      </c>
      <c r="BK19" s="15">
        <f>IF($D19=BK$1,$R19,IF($E19=BK$1,$S19,BK18))</f>
        <v/>
      </c>
      <c r="BL19" s="15">
        <f>IF($D19=BL$1,$R19,IF($E19=BL$1,$S19,BL18))</f>
        <v/>
      </c>
      <c r="BM19" s="15">
        <f>IF($D19=BM$1,$R19,IF($E19=BM$1,$S19,BM18))</f>
        <v/>
      </c>
      <c r="BN19" s="15">
        <f>IF($D19=BN$1,$R19,IF($E19=BN$1,$S19,BN18))</f>
        <v/>
      </c>
      <c r="BO19" s="15">
        <f>IF($D19=BO$1,$R19,IF($E19=BO$1,$S19,BO18))</f>
        <v/>
      </c>
      <c r="BP19" s="15">
        <f>IF($D19=BP$1,$R19,IF($E19=BP$1,$S19,BP18))</f>
        <v/>
      </c>
      <c r="BQ19" s="15">
        <f>IF($D19=BQ$1,$R19,IF($E19=BQ$1,$S19,BQ18))</f>
        <v/>
      </c>
      <c r="BR19" s="15">
        <f>IF($D19=BR$1,$R19,IF($E19=BR$1,$S19,BR18))</f>
        <v/>
      </c>
      <c r="BS19" s="15">
        <f>IF($D19=BS$1,$R19,IF($E19=BS$1,$S19,BS18))</f>
        <v/>
      </c>
      <c r="BT19" s="15">
        <f>IF($D19=BT$1,$R19,IF($E19=BT$1,$S19,BT18))</f>
        <v/>
      </c>
      <c r="BU19" s="15">
        <f>IF($D19=BU$1,$R19,IF($E19=BU$1,$S19,BU18))</f>
        <v/>
      </c>
      <c r="BV19" s="15">
        <f>IF($D19=BV$1,$R19,IF($E19=BV$1,$S19,BV18))</f>
        <v/>
      </c>
      <c r="BW19" s="15">
        <f>IF($D19=BW$1,$R19,IF($E19=BW$1,$S19,BW18))</f>
        <v/>
      </c>
      <c r="BX19" s="15">
        <f>IF($D19=BX$1,$R19,IF($E19=BX$1,$S19,BX18))</f>
        <v/>
      </c>
      <c r="BY19" s="15">
        <f>IF($D19=BY$1,$R19,IF($E19=BY$1,$S19,BY18))</f>
        <v/>
      </c>
      <c r="BZ19" s="15">
        <f>IF($D19=BZ$1,$R19,IF($E19=BZ$1,$S19,BZ18))</f>
        <v/>
      </c>
    </row>
    <row r="20" ht="15" customHeight="1">
      <c r="A20" s="7">
        <f>Fixture!A19</f>
        <v/>
      </c>
      <c r="B20" s="7">
        <f>Fixture!B19</f>
        <v/>
      </c>
      <c r="C20" s="7">
        <f>Fixture!C19</f>
        <v/>
      </c>
      <c r="D20" s="7">
        <f>Fixture!E19</f>
        <v/>
      </c>
      <c r="E20" s="7">
        <f>Fixture!F19</f>
        <v/>
      </c>
      <c r="F20" s="7">
        <f>Fixture!J19</f>
        <v/>
      </c>
      <c r="G20" s="7">
        <f>Fixture!K19</f>
        <v/>
      </c>
      <c r="H20" s="7">
        <f>IF(ISNUMBER(Resultados!B19),1,0)</f>
        <v/>
      </c>
      <c r="I20" s="7">
        <f>IF($H20=1,Resultados!B19,0)</f>
        <v/>
      </c>
      <c r="J20" s="7">
        <f>IF($H20=1,Resultados!C19,0)</f>
        <v/>
      </c>
      <c r="K20" s="12">
        <f>IFERROR(INDEX($AE19:$BZ19,MATCH($D20,$AE$1:$BZ$1,0)),"")</f>
        <v/>
      </c>
      <c r="L20" s="12">
        <f>IFERROR(INDEX($AE19:$BZ19,MATCH($E20,$AE$1:$BZ$1,0)),"")</f>
        <v/>
      </c>
      <c r="M20" s="12">
        <f>IF(OR($K20="",$L20=""),"",($K20+100*$F20)-($L20+100*$G20))</f>
        <v/>
      </c>
      <c r="N20" s="13">
        <f>IF($M20="","",1/(1+10^(-$M20/400)))</f>
        <v/>
      </c>
      <c r="O20" s="7">
        <f>IF(OR($H20=0,$N20=""),"",IF($I20&gt;$J20,1,IF($I20=$J20,0.5,0)))</f>
        <v/>
      </c>
      <c r="P20" s="14">
        <f>IF($O20="","",IF(ABS($I20-$J20)&lt;=1,1,IF(ABS($I20-$J20)=2,1.5,IF(ABS($I20-$J20)=3,1.75,1.75+(ABS($I20-$J20)-3)/8))))</f>
        <v/>
      </c>
      <c r="Q20" s="14">
        <f>IF($O20="",0,Equipos!$O$4*$P20*($O20-$N20))</f>
        <v/>
      </c>
      <c r="R20" s="12">
        <f>IF($K20="","",$K20+$Q20)</f>
        <v/>
      </c>
      <c r="S20" s="12">
        <f>IF($L20="","",$L20-$Q20)</f>
        <v/>
      </c>
      <c r="T20" s="14">
        <f>IF($M20="","",Equipos!$O$3*$M20)</f>
        <v/>
      </c>
      <c r="U20" s="14">
        <f>IFERROR(VLOOKUP($D20,Equipos!$A:$H,6,0),"")</f>
        <v/>
      </c>
      <c r="V20" s="14">
        <f>IFERROR(VLOOKUP($D20,Equipos!$A:$H,7,0),"")</f>
        <v/>
      </c>
      <c r="W20" s="14">
        <f>IFERROR(VLOOKUP($E20,Equipos!$A:$H,6,0),"")</f>
        <v/>
      </c>
      <c r="X20" s="14">
        <f>IFERROR(VLOOKUP($E20,Equipos!$A:$H,7,0),"")</f>
        <v/>
      </c>
      <c r="Y20" s="14">
        <f>IF(OR($U20="",$W20=""),"",MIN(3.6,MAX(1.8,Equipos!$O$2*SQRT($U20*$W20*$V20*$X20))))</f>
        <v/>
      </c>
      <c r="Z20" s="14">
        <f>IF(OR($Y20="",$T20=""),"",MAX(0.2,($Y20+$T20)/2))</f>
        <v/>
      </c>
      <c r="AA20" s="14">
        <f>IF(OR($Y20="",$T20=""),"",MAX(0.2,($Y20-$T20)/2))</f>
        <v/>
      </c>
      <c r="AE20" s="15">
        <f>IF($D20=AE$1,$R20,IF($E20=AE$1,$S20,AE19))</f>
        <v/>
      </c>
      <c r="AF20" s="15">
        <f>IF($D20=AF$1,$R20,IF($E20=AF$1,$S20,AF19))</f>
        <v/>
      </c>
      <c r="AG20" s="15">
        <f>IF($D20=AG$1,$R20,IF($E20=AG$1,$S20,AG19))</f>
        <v/>
      </c>
      <c r="AH20" s="15">
        <f>IF($D20=AH$1,$R20,IF($E20=AH$1,$S20,AH19))</f>
        <v/>
      </c>
      <c r="AI20" s="15">
        <f>IF($D20=AI$1,$R20,IF($E20=AI$1,$S20,AI19))</f>
        <v/>
      </c>
      <c r="AJ20" s="15">
        <f>IF($D20=AJ$1,$R20,IF($E20=AJ$1,$S20,AJ19))</f>
        <v/>
      </c>
      <c r="AK20" s="15">
        <f>IF($D20=AK$1,$R20,IF($E20=AK$1,$S20,AK19))</f>
        <v/>
      </c>
      <c r="AL20" s="15">
        <f>IF($D20=AL$1,$R20,IF($E20=AL$1,$S20,AL19))</f>
        <v/>
      </c>
      <c r="AM20" s="15">
        <f>IF($D20=AM$1,$R20,IF($E20=AM$1,$S20,AM19))</f>
        <v/>
      </c>
      <c r="AN20" s="15">
        <f>IF($D20=AN$1,$R20,IF($E20=AN$1,$S20,AN19))</f>
        <v/>
      </c>
      <c r="AO20" s="15">
        <f>IF($D20=AO$1,$R20,IF($E20=AO$1,$S20,AO19))</f>
        <v/>
      </c>
      <c r="AP20" s="15">
        <f>IF($D20=AP$1,$R20,IF($E20=AP$1,$S20,AP19))</f>
        <v/>
      </c>
      <c r="AQ20" s="15">
        <f>IF($D20=AQ$1,$R20,IF($E20=AQ$1,$S20,AQ19))</f>
        <v/>
      </c>
      <c r="AR20" s="15">
        <f>IF($D20=AR$1,$R20,IF($E20=AR$1,$S20,AR19))</f>
        <v/>
      </c>
      <c r="AS20" s="15">
        <f>IF($D20=AS$1,$R20,IF($E20=AS$1,$S20,AS19))</f>
        <v/>
      </c>
      <c r="AT20" s="15">
        <f>IF($D20=AT$1,$R20,IF($E20=AT$1,$S20,AT19))</f>
        <v/>
      </c>
      <c r="AU20" s="15">
        <f>IF($D20=AU$1,$R20,IF($E20=AU$1,$S20,AU19))</f>
        <v/>
      </c>
      <c r="AV20" s="15">
        <f>IF($D20=AV$1,$R20,IF($E20=AV$1,$S20,AV19))</f>
        <v/>
      </c>
      <c r="AW20" s="15">
        <f>IF($D20=AW$1,$R20,IF($E20=AW$1,$S20,AW19))</f>
        <v/>
      </c>
      <c r="AX20" s="15">
        <f>IF($D20=AX$1,$R20,IF($E20=AX$1,$S20,AX19))</f>
        <v/>
      </c>
      <c r="AY20" s="15">
        <f>IF($D20=AY$1,$R20,IF($E20=AY$1,$S20,AY19))</f>
        <v/>
      </c>
      <c r="AZ20" s="15">
        <f>IF($D20=AZ$1,$R20,IF($E20=AZ$1,$S20,AZ19))</f>
        <v/>
      </c>
      <c r="BA20" s="15">
        <f>IF($D20=BA$1,$R20,IF($E20=BA$1,$S20,BA19))</f>
        <v/>
      </c>
      <c r="BB20" s="15">
        <f>IF($D20=BB$1,$R20,IF($E20=BB$1,$S20,BB19))</f>
        <v/>
      </c>
      <c r="BC20" s="15">
        <f>IF($D20=BC$1,$R20,IF($E20=BC$1,$S20,BC19))</f>
        <v/>
      </c>
      <c r="BD20" s="15">
        <f>IF($D20=BD$1,$R20,IF($E20=BD$1,$S20,BD19))</f>
        <v/>
      </c>
      <c r="BE20" s="15">
        <f>IF($D20=BE$1,$R20,IF($E20=BE$1,$S20,BE19))</f>
        <v/>
      </c>
      <c r="BF20" s="15">
        <f>IF($D20=BF$1,$R20,IF($E20=BF$1,$S20,BF19))</f>
        <v/>
      </c>
      <c r="BG20" s="15">
        <f>IF($D20=BG$1,$R20,IF($E20=BG$1,$S20,BG19))</f>
        <v/>
      </c>
      <c r="BH20" s="15">
        <f>IF($D20=BH$1,$R20,IF($E20=BH$1,$S20,BH19))</f>
        <v/>
      </c>
      <c r="BI20" s="15">
        <f>IF($D20=BI$1,$R20,IF($E20=BI$1,$S20,BI19))</f>
        <v/>
      </c>
      <c r="BJ20" s="15">
        <f>IF($D20=BJ$1,$R20,IF($E20=BJ$1,$S20,BJ19))</f>
        <v/>
      </c>
      <c r="BK20" s="15">
        <f>IF($D20=BK$1,$R20,IF($E20=BK$1,$S20,BK19))</f>
        <v/>
      </c>
      <c r="BL20" s="15">
        <f>IF($D20=BL$1,$R20,IF($E20=BL$1,$S20,BL19))</f>
        <v/>
      </c>
      <c r="BM20" s="15">
        <f>IF($D20=BM$1,$R20,IF($E20=BM$1,$S20,BM19))</f>
        <v/>
      </c>
      <c r="BN20" s="15">
        <f>IF($D20=BN$1,$R20,IF($E20=BN$1,$S20,BN19))</f>
        <v/>
      </c>
      <c r="BO20" s="15">
        <f>IF($D20=BO$1,$R20,IF($E20=BO$1,$S20,BO19))</f>
        <v/>
      </c>
      <c r="BP20" s="15">
        <f>IF($D20=BP$1,$R20,IF($E20=BP$1,$S20,BP19))</f>
        <v/>
      </c>
      <c r="BQ20" s="15">
        <f>IF($D20=BQ$1,$R20,IF($E20=BQ$1,$S20,BQ19))</f>
        <v/>
      </c>
      <c r="BR20" s="15">
        <f>IF($D20=BR$1,$R20,IF($E20=BR$1,$S20,BR19))</f>
        <v/>
      </c>
      <c r="BS20" s="15">
        <f>IF($D20=BS$1,$R20,IF($E20=BS$1,$S20,BS19))</f>
        <v/>
      </c>
      <c r="BT20" s="15">
        <f>IF($D20=BT$1,$R20,IF($E20=BT$1,$S20,BT19))</f>
        <v/>
      </c>
      <c r="BU20" s="15">
        <f>IF($D20=BU$1,$R20,IF($E20=BU$1,$S20,BU19))</f>
        <v/>
      </c>
      <c r="BV20" s="15">
        <f>IF($D20=BV$1,$R20,IF($E20=BV$1,$S20,BV19))</f>
        <v/>
      </c>
      <c r="BW20" s="15">
        <f>IF($D20=BW$1,$R20,IF($E20=BW$1,$S20,BW19))</f>
        <v/>
      </c>
      <c r="BX20" s="15">
        <f>IF($D20=BX$1,$R20,IF($E20=BX$1,$S20,BX19))</f>
        <v/>
      </c>
      <c r="BY20" s="15">
        <f>IF($D20=BY$1,$R20,IF($E20=BY$1,$S20,BY19))</f>
        <v/>
      </c>
      <c r="BZ20" s="15">
        <f>IF($D20=BZ$1,$R20,IF($E20=BZ$1,$S20,BZ19))</f>
        <v/>
      </c>
    </row>
    <row r="21" ht="15" customHeight="1">
      <c r="A21" s="7">
        <f>Fixture!A20</f>
        <v/>
      </c>
      <c r="B21" s="7">
        <f>Fixture!B20</f>
        <v/>
      </c>
      <c r="C21" s="7">
        <f>Fixture!C20</f>
        <v/>
      </c>
      <c r="D21" s="7">
        <f>Fixture!E20</f>
        <v/>
      </c>
      <c r="E21" s="7">
        <f>Fixture!F20</f>
        <v/>
      </c>
      <c r="F21" s="7">
        <f>Fixture!J20</f>
        <v/>
      </c>
      <c r="G21" s="7">
        <f>Fixture!K20</f>
        <v/>
      </c>
      <c r="H21" s="7">
        <f>IF(ISNUMBER(Resultados!B20),1,0)</f>
        <v/>
      </c>
      <c r="I21" s="7">
        <f>IF($H21=1,Resultados!B20,0)</f>
        <v/>
      </c>
      <c r="J21" s="7">
        <f>IF($H21=1,Resultados!C20,0)</f>
        <v/>
      </c>
      <c r="K21" s="12">
        <f>IFERROR(INDEX($AE20:$BZ20,MATCH($D21,$AE$1:$BZ$1,0)),"")</f>
        <v/>
      </c>
      <c r="L21" s="12">
        <f>IFERROR(INDEX($AE20:$BZ20,MATCH($E21,$AE$1:$BZ$1,0)),"")</f>
        <v/>
      </c>
      <c r="M21" s="12">
        <f>IF(OR($K21="",$L21=""),"",($K21+100*$F21)-($L21+100*$G21))</f>
        <v/>
      </c>
      <c r="N21" s="13">
        <f>IF($M21="","",1/(1+10^(-$M21/400)))</f>
        <v/>
      </c>
      <c r="O21" s="7">
        <f>IF(OR($H21=0,$N21=""),"",IF($I21&gt;$J21,1,IF($I21=$J21,0.5,0)))</f>
        <v/>
      </c>
      <c r="P21" s="14">
        <f>IF($O21="","",IF(ABS($I21-$J21)&lt;=1,1,IF(ABS($I21-$J21)=2,1.5,IF(ABS($I21-$J21)=3,1.75,1.75+(ABS($I21-$J21)-3)/8))))</f>
        <v/>
      </c>
      <c r="Q21" s="14">
        <f>IF($O21="",0,Equipos!$O$4*$P21*($O21-$N21))</f>
        <v/>
      </c>
      <c r="R21" s="12">
        <f>IF($K21="","",$K21+$Q21)</f>
        <v/>
      </c>
      <c r="S21" s="12">
        <f>IF($L21="","",$L21-$Q21)</f>
        <v/>
      </c>
      <c r="T21" s="14">
        <f>IF($M21="","",Equipos!$O$3*$M21)</f>
        <v/>
      </c>
      <c r="U21" s="14">
        <f>IFERROR(VLOOKUP($D21,Equipos!$A:$H,6,0),"")</f>
        <v/>
      </c>
      <c r="V21" s="14">
        <f>IFERROR(VLOOKUP($D21,Equipos!$A:$H,7,0),"")</f>
        <v/>
      </c>
      <c r="W21" s="14">
        <f>IFERROR(VLOOKUP($E21,Equipos!$A:$H,6,0),"")</f>
        <v/>
      </c>
      <c r="X21" s="14">
        <f>IFERROR(VLOOKUP($E21,Equipos!$A:$H,7,0),"")</f>
        <v/>
      </c>
      <c r="Y21" s="14">
        <f>IF(OR($U21="",$W21=""),"",MIN(3.6,MAX(1.8,Equipos!$O$2*SQRT($U21*$W21*$V21*$X21))))</f>
        <v/>
      </c>
      <c r="Z21" s="14">
        <f>IF(OR($Y21="",$T21=""),"",MAX(0.2,($Y21+$T21)/2))</f>
        <v/>
      </c>
      <c r="AA21" s="14">
        <f>IF(OR($Y21="",$T21=""),"",MAX(0.2,($Y21-$T21)/2))</f>
        <v/>
      </c>
      <c r="AE21" s="15">
        <f>IF($D21=AE$1,$R21,IF($E21=AE$1,$S21,AE20))</f>
        <v/>
      </c>
      <c r="AF21" s="15">
        <f>IF($D21=AF$1,$R21,IF($E21=AF$1,$S21,AF20))</f>
        <v/>
      </c>
      <c r="AG21" s="15">
        <f>IF($D21=AG$1,$R21,IF($E21=AG$1,$S21,AG20))</f>
        <v/>
      </c>
      <c r="AH21" s="15">
        <f>IF($D21=AH$1,$R21,IF($E21=AH$1,$S21,AH20))</f>
        <v/>
      </c>
      <c r="AI21" s="15">
        <f>IF($D21=AI$1,$R21,IF($E21=AI$1,$S21,AI20))</f>
        <v/>
      </c>
      <c r="AJ21" s="15">
        <f>IF($D21=AJ$1,$R21,IF($E21=AJ$1,$S21,AJ20))</f>
        <v/>
      </c>
      <c r="AK21" s="15">
        <f>IF($D21=AK$1,$R21,IF($E21=AK$1,$S21,AK20))</f>
        <v/>
      </c>
      <c r="AL21" s="15">
        <f>IF($D21=AL$1,$R21,IF($E21=AL$1,$S21,AL20))</f>
        <v/>
      </c>
      <c r="AM21" s="15">
        <f>IF($D21=AM$1,$R21,IF($E21=AM$1,$S21,AM20))</f>
        <v/>
      </c>
      <c r="AN21" s="15">
        <f>IF($D21=AN$1,$R21,IF($E21=AN$1,$S21,AN20))</f>
        <v/>
      </c>
      <c r="AO21" s="15">
        <f>IF($D21=AO$1,$R21,IF($E21=AO$1,$S21,AO20))</f>
        <v/>
      </c>
      <c r="AP21" s="15">
        <f>IF($D21=AP$1,$R21,IF($E21=AP$1,$S21,AP20))</f>
        <v/>
      </c>
      <c r="AQ21" s="15">
        <f>IF($D21=AQ$1,$R21,IF($E21=AQ$1,$S21,AQ20))</f>
        <v/>
      </c>
      <c r="AR21" s="15">
        <f>IF($D21=AR$1,$R21,IF($E21=AR$1,$S21,AR20))</f>
        <v/>
      </c>
      <c r="AS21" s="15">
        <f>IF($D21=AS$1,$R21,IF($E21=AS$1,$S21,AS20))</f>
        <v/>
      </c>
      <c r="AT21" s="15">
        <f>IF($D21=AT$1,$R21,IF($E21=AT$1,$S21,AT20))</f>
        <v/>
      </c>
      <c r="AU21" s="15">
        <f>IF($D21=AU$1,$R21,IF($E21=AU$1,$S21,AU20))</f>
        <v/>
      </c>
      <c r="AV21" s="15">
        <f>IF($D21=AV$1,$R21,IF($E21=AV$1,$S21,AV20))</f>
        <v/>
      </c>
      <c r="AW21" s="15">
        <f>IF($D21=AW$1,$R21,IF($E21=AW$1,$S21,AW20))</f>
        <v/>
      </c>
      <c r="AX21" s="15">
        <f>IF($D21=AX$1,$R21,IF($E21=AX$1,$S21,AX20))</f>
        <v/>
      </c>
      <c r="AY21" s="15">
        <f>IF($D21=AY$1,$R21,IF($E21=AY$1,$S21,AY20))</f>
        <v/>
      </c>
      <c r="AZ21" s="15">
        <f>IF($D21=AZ$1,$R21,IF($E21=AZ$1,$S21,AZ20))</f>
        <v/>
      </c>
      <c r="BA21" s="15">
        <f>IF($D21=BA$1,$R21,IF($E21=BA$1,$S21,BA20))</f>
        <v/>
      </c>
      <c r="BB21" s="15">
        <f>IF($D21=BB$1,$R21,IF($E21=BB$1,$S21,BB20))</f>
        <v/>
      </c>
      <c r="BC21" s="15">
        <f>IF($D21=BC$1,$R21,IF($E21=BC$1,$S21,BC20))</f>
        <v/>
      </c>
      <c r="BD21" s="15">
        <f>IF($D21=BD$1,$R21,IF($E21=BD$1,$S21,BD20))</f>
        <v/>
      </c>
      <c r="BE21" s="15">
        <f>IF($D21=BE$1,$R21,IF($E21=BE$1,$S21,BE20))</f>
        <v/>
      </c>
      <c r="BF21" s="15">
        <f>IF($D21=BF$1,$R21,IF($E21=BF$1,$S21,BF20))</f>
        <v/>
      </c>
      <c r="BG21" s="15">
        <f>IF($D21=BG$1,$R21,IF($E21=BG$1,$S21,BG20))</f>
        <v/>
      </c>
      <c r="BH21" s="15">
        <f>IF($D21=BH$1,$R21,IF($E21=BH$1,$S21,BH20))</f>
        <v/>
      </c>
      <c r="BI21" s="15">
        <f>IF($D21=BI$1,$R21,IF($E21=BI$1,$S21,BI20))</f>
        <v/>
      </c>
      <c r="BJ21" s="15">
        <f>IF($D21=BJ$1,$R21,IF($E21=BJ$1,$S21,BJ20))</f>
        <v/>
      </c>
      <c r="BK21" s="15">
        <f>IF($D21=BK$1,$R21,IF($E21=BK$1,$S21,BK20))</f>
        <v/>
      </c>
      <c r="BL21" s="15">
        <f>IF($D21=BL$1,$R21,IF($E21=BL$1,$S21,BL20))</f>
        <v/>
      </c>
      <c r="BM21" s="15">
        <f>IF($D21=BM$1,$R21,IF($E21=BM$1,$S21,BM20))</f>
        <v/>
      </c>
      <c r="BN21" s="15">
        <f>IF($D21=BN$1,$R21,IF($E21=BN$1,$S21,BN20))</f>
        <v/>
      </c>
      <c r="BO21" s="15">
        <f>IF($D21=BO$1,$R21,IF($E21=BO$1,$S21,BO20))</f>
        <v/>
      </c>
      <c r="BP21" s="15">
        <f>IF($D21=BP$1,$R21,IF($E21=BP$1,$S21,BP20))</f>
        <v/>
      </c>
      <c r="BQ21" s="15">
        <f>IF($D21=BQ$1,$R21,IF($E21=BQ$1,$S21,BQ20))</f>
        <v/>
      </c>
      <c r="BR21" s="15">
        <f>IF($D21=BR$1,$R21,IF($E21=BR$1,$S21,BR20))</f>
        <v/>
      </c>
      <c r="BS21" s="15">
        <f>IF($D21=BS$1,$R21,IF($E21=BS$1,$S21,BS20))</f>
        <v/>
      </c>
      <c r="BT21" s="15">
        <f>IF($D21=BT$1,$R21,IF($E21=BT$1,$S21,BT20))</f>
        <v/>
      </c>
      <c r="BU21" s="15">
        <f>IF($D21=BU$1,$R21,IF($E21=BU$1,$S21,BU20))</f>
        <v/>
      </c>
      <c r="BV21" s="15">
        <f>IF($D21=BV$1,$R21,IF($E21=BV$1,$S21,BV20))</f>
        <v/>
      </c>
      <c r="BW21" s="15">
        <f>IF($D21=BW$1,$R21,IF($E21=BW$1,$S21,BW20))</f>
        <v/>
      </c>
      <c r="BX21" s="15">
        <f>IF($D21=BX$1,$R21,IF($E21=BX$1,$S21,BX20))</f>
        <v/>
      </c>
      <c r="BY21" s="15">
        <f>IF($D21=BY$1,$R21,IF($E21=BY$1,$S21,BY20))</f>
        <v/>
      </c>
      <c r="BZ21" s="15">
        <f>IF($D21=BZ$1,$R21,IF($E21=BZ$1,$S21,BZ20))</f>
        <v/>
      </c>
    </row>
    <row r="22" ht="15" customHeight="1">
      <c r="A22" s="7">
        <f>Fixture!A21</f>
        <v/>
      </c>
      <c r="B22" s="7">
        <f>Fixture!B21</f>
        <v/>
      </c>
      <c r="C22" s="7">
        <f>Fixture!C21</f>
        <v/>
      </c>
      <c r="D22" s="7">
        <f>Fixture!E21</f>
        <v/>
      </c>
      <c r="E22" s="7">
        <f>Fixture!F21</f>
        <v/>
      </c>
      <c r="F22" s="7">
        <f>Fixture!J21</f>
        <v/>
      </c>
      <c r="G22" s="7">
        <f>Fixture!K21</f>
        <v/>
      </c>
      <c r="H22" s="7">
        <f>IF(ISNUMBER(Resultados!B21),1,0)</f>
        <v/>
      </c>
      <c r="I22" s="7">
        <f>IF($H22=1,Resultados!B21,0)</f>
        <v/>
      </c>
      <c r="J22" s="7">
        <f>IF($H22=1,Resultados!C21,0)</f>
        <v/>
      </c>
      <c r="K22" s="12">
        <f>IFERROR(INDEX($AE21:$BZ21,MATCH($D22,$AE$1:$BZ$1,0)),"")</f>
        <v/>
      </c>
      <c r="L22" s="12">
        <f>IFERROR(INDEX($AE21:$BZ21,MATCH($E22,$AE$1:$BZ$1,0)),"")</f>
        <v/>
      </c>
      <c r="M22" s="12">
        <f>IF(OR($K22="",$L22=""),"",($K22+100*$F22)-($L22+100*$G22))</f>
        <v/>
      </c>
      <c r="N22" s="13">
        <f>IF($M22="","",1/(1+10^(-$M22/400)))</f>
        <v/>
      </c>
      <c r="O22" s="7">
        <f>IF(OR($H22=0,$N22=""),"",IF($I22&gt;$J22,1,IF($I22=$J22,0.5,0)))</f>
        <v/>
      </c>
      <c r="P22" s="14">
        <f>IF($O22="","",IF(ABS($I22-$J22)&lt;=1,1,IF(ABS($I22-$J22)=2,1.5,IF(ABS($I22-$J22)=3,1.75,1.75+(ABS($I22-$J22)-3)/8))))</f>
        <v/>
      </c>
      <c r="Q22" s="14">
        <f>IF($O22="",0,Equipos!$O$4*$P22*($O22-$N22))</f>
        <v/>
      </c>
      <c r="R22" s="12">
        <f>IF($K22="","",$K22+$Q22)</f>
        <v/>
      </c>
      <c r="S22" s="12">
        <f>IF($L22="","",$L22-$Q22)</f>
        <v/>
      </c>
      <c r="T22" s="14">
        <f>IF($M22="","",Equipos!$O$3*$M22)</f>
        <v/>
      </c>
      <c r="U22" s="14">
        <f>IFERROR(VLOOKUP($D22,Equipos!$A:$H,6,0),"")</f>
        <v/>
      </c>
      <c r="V22" s="14">
        <f>IFERROR(VLOOKUP($D22,Equipos!$A:$H,7,0),"")</f>
        <v/>
      </c>
      <c r="W22" s="14">
        <f>IFERROR(VLOOKUP($E22,Equipos!$A:$H,6,0),"")</f>
        <v/>
      </c>
      <c r="X22" s="14">
        <f>IFERROR(VLOOKUP($E22,Equipos!$A:$H,7,0),"")</f>
        <v/>
      </c>
      <c r="Y22" s="14">
        <f>IF(OR($U22="",$W22=""),"",MIN(3.6,MAX(1.8,Equipos!$O$2*SQRT($U22*$W22*$V22*$X22))))</f>
        <v/>
      </c>
      <c r="Z22" s="14">
        <f>IF(OR($Y22="",$T22=""),"",MAX(0.2,($Y22+$T22)/2))</f>
        <v/>
      </c>
      <c r="AA22" s="14">
        <f>IF(OR($Y22="",$T22=""),"",MAX(0.2,($Y22-$T22)/2))</f>
        <v/>
      </c>
      <c r="AE22" s="15">
        <f>IF($D22=AE$1,$R22,IF($E22=AE$1,$S22,AE21))</f>
        <v/>
      </c>
      <c r="AF22" s="15">
        <f>IF($D22=AF$1,$R22,IF($E22=AF$1,$S22,AF21))</f>
        <v/>
      </c>
      <c r="AG22" s="15">
        <f>IF($D22=AG$1,$R22,IF($E22=AG$1,$S22,AG21))</f>
        <v/>
      </c>
      <c r="AH22" s="15">
        <f>IF($D22=AH$1,$R22,IF($E22=AH$1,$S22,AH21))</f>
        <v/>
      </c>
      <c r="AI22" s="15">
        <f>IF($D22=AI$1,$R22,IF($E22=AI$1,$S22,AI21))</f>
        <v/>
      </c>
      <c r="AJ22" s="15">
        <f>IF($D22=AJ$1,$R22,IF($E22=AJ$1,$S22,AJ21))</f>
        <v/>
      </c>
      <c r="AK22" s="15">
        <f>IF($D22=AK$1,$R22,IF($E22=AK$1,$S22,AK21))</f>
        <v/>
      </c>
      <c r="AL22" s="15">
        <f>IF($D22=AL$1,$R22,IF($E22=AL$1,$S22,AL21))</f>
        <v/>
      </c>
      <c r="AM22" s="15">
        <f>IF($D22=AM$1,$R22,IF($E22=AM$1,$S22,AM21))</f>
        <v/>
      </c>
      <c r="AN22" s="15">
        <f>IF($D22=AN$1,$R22,IF($E22=AN$1,$S22,AN21))</f>
        <v/>
      </c>
      <c r="AO22" s="15">
        <f>IF($D22=AO$1,$R22,IF($E22=AO$1,$S22,AO21))</f>
        <v/>
      </c>
      <c r="AP22" s="15">
        <f>IF($D22=AP$1,$R22,IF($E22=AP$1,$S22,AP21))</f>
        <v/>
      </c>
      <c r="AQ22" s="15">
        <f>IF($D22=AQ$1,$R22,IF($E22=AQ$1,$S22,AQ21))</f>
        <v/>
      </c>
      <c r="AR22" s="15">
        <f>IF($D22=AR$1,$R22,IF($E22=AR$1,$S22,AR21))</f>
        <v/>
      </c>
      <c r="AS22" s="15">
        <f>IF($D22=AS$1,$R22,IF($E22=AS$1,$S22,AS21))</f>
        <v/>
      </c>
      <c r="AT22" s="15">
        <f>IF($D22=AT$1,$R22,IF($E22=AT$1,$S22,AT21))</f>
        <v/>
      </c>
      <c r="AU22" s="15">
        <f>IF($D22=AU$1,$R22,IF($E22=AU$1,$S22,AU21))</f>
        <v/>
      </c>
      <c r="AV22" s="15">
        <f>IF($D22=AV$1,$R22,IF($E22=AV$1,$S22,AV21))</f>
        <v/>
      </c>
      <c r="AW22" s="15">
        <f>IF($D22=AW$1,$R22,IF($E22=AW$1,$S22,AW21))</f>
        <v/>
      </c>
      <c r="AX22" s="15">
        <f>IF($D22=AX$1,$R22,IF($E22=AX$1,$S22,AX21))</f>
        <v/>
      </c>
      <c r="AY22" s="15">
        <f>IF($D22=AY$1,$R22,IF($E22=AY$1,$S22,AY21))</f>
        <v/>
      </c>
      <c r="AZ22" s="15">
        <f>IF($D22=AZ$1,$R22,IF($E22=AZ$1,$S22,AZ21))</f>
        <v/>
      </c>
      <c r="BA22" s="15">
        <f>IF($D22=BA$1,$R22,IF($E22=BA$1,$S22,BA21))</f>
        <v/>
      </c>
      <c r="BB22" s="15">
        <f>IF($D22=BB$1,$R22,IF($E22=BB$1,$S22,BB21))</f>
        <v/>
      </c>
      <c r="BC22" s="15">
        <f>IF($D22=BC$1,$R22,IF($E22=BC$1,$S22,BC21))</f>
        <v/>
      </c>
      <c r="BD22" s="15">
        <f>IF($D22=BD$1,$R22,IF($E22=BD$1,$S22,BD21))</f>
        <v/>
      </c>
      <c r="BE22" s="15">
        <f>IF($D22=BE$1,$R22,IF($E22=BE$1,$S22,BE21))</f>
        <v/>
      </c>
      <c r="BF22" s="15">
        <f>IF($D22=BF$1,$R22,IF($E22=BF$1,$S22,BF21))</f>
        <v/>
      </c>
      <c r="BG22" s="15">
        <f>IF($D22=BG$1,$R22,IF($E22=BG$1,$S22,BG21))</f>
        <v/>
      </c>
      <c r="BH22" s="15">
        <f>IF($D22=BH$1,$R22,IF($E22=BH$1,$S22,BH21))</f>
        <v/>
      </c>
      <c r="BI22" s="15">
        <f>IF($D22=BI$1,$R22,IF($E22=BI$1,$S22,BI21))</f>
        <v/>
      </c>
      <c r="BJ22" s="15">
        <f>IF($D22=BJ$1,$R22,IF($E22=BJ$1,$S22,BJ21))</f>
        <v/>
      </c>
      <c r="BK22" s="15">
        <f>IF($D22=BK$1,$R22,IF($E22=BK$1,$S22,BK21))</f>
        <v/>
      </c>
      <c r="BL22" s="15">
        <f>IF($D22=BL$1,$R22,IF($E22=BL$1,$S22,BL21))</f>
        <v/>
      </c>
      <c r="BM22" s="15">
        <f>IF($D22=BM$1,$R22,IF($E22=BM$1,$S22,BM21))</f>
        <v/>
      </c>
      <c r="BN22" s="15">
        <f>IF($D22=BN$1,$R22,IF($E22=BN$1,$S22,BN21))</f>
        <v/>
      </c>
      <c r="BO22" s="15">
        <f>IF($D22=BO$1,$R22,IF($E22=BO$1,$S22,BO21))</f>
        <v/>
      </c>
      <c r="BP22" s="15">
        <f>IF($D22=BP$1,$R22,IF($E22=BP$1,$S22,BP21))</f>
        <v/>
      </c>
      <c r="BQ22" s="15">
        <f>IF($D22=BQ$1,$R22,IF($E22=BQ$1,$S22,BQ21))</f>
        <v/>
      </c>
      <c r="BR22" s="15">
        <f>IF($D22=BR$1,$R22,IF($E22=BR$1,$S22,BR21))</f>
        <v/>
      </c>
      <c r="BS22" s="15">
        <f>IF($D22=BS$1,$R22,IF($E22=BS$1,$S22,BS21))</f>
        <v/>
      </c>
      <c r="BT22" s="15">
        <f>IF($D22=BT$1,$R22,IF($E22=BT$1,$S22,BT21))</f>
        <v/>
      </c>
      <c r="BU22" s="15">
        <f>IF($D22=BU$1,$R22,IF($E22=BU$1,$S22,BU21))</f>
        <v/>
      </c>
      <c r="BV22" s="15">
        <f>IF($D22=BV$1,$R22,IF($E22=BV$1,$S22,BV21))</f>
        <v/>
      </c>
      <c r="BW22" s="15">
        <f>IF($D22=BW$1,$R22,IF($E22=BW$1,$S22,BW21))</f>
        <v/>
      </c>
      <c r="BX22" s="15">
        <f>IF($D22=BX$1,$R22,IF($E22=BX$1,$S22,BX21))</f>
        <v/>
      </c>
      <c r="BY22" s="15">
        <f>IF($D22=BY$1,$R22,IF($E22=BY$1,$S22,BY21))</f>
        <v/>
      </c>
      <c r="BZ22" s="15">
        <f>IF($D22=BZ$1,$R22,IF($E22=BZ$1,$S22,BZ21))</f>
        <v/>
      </c>
    </row>
    <row r="23" ht="15" customHeight="1">
      <c r="A23" s="7">
        <f>Fixture!A22</f>
        <v/>
      </c>
      <c r="B23" s="7">
        <f>Fixture!B22</f>
        <v/>
      </c>
      <c r="C23" s="7">
        <f>Fixture!C22</f>
        <v/>
      </c>
      <c r="D23" s="7">
        <f>Fixture!E22</f>
        <v/>
      </c>
      <c r="E23" s="7">
        <f>Fixture!F22</f>
        <v/>
      </c>
      <c r="F23" s="7">
        <f>Fixture!J22</f>
        <v/>
      </c>
      <c r="G23" s="7">
        <f>Fixture!K22</f>
        <v/>
      </c>
      <c r="H23" s="7">
        <f>IF(ISNUMBER(Resultados!B22),1,0)</f>
        <v/>
      </c>
      <c r="I23" s="7">
        <f>IF($H23=1,Resultados!B22,0)</f>
        <v/>
      </c>
      <c r="J23" s="7">
        <f>IF($H23=1,Resultados!C22,0)</f>
        <v/>
      </c>
      <c r="K23" s="12">
        <f>IFERROR(INDEX($AE22:$BZ22,MATCH($D23,$AE$1:$BZ$1,0)),"")</f>
        <v/>
      </c>
      <c r="L23" s="12">
        <f>IFERROR(INDEX($AE22:$BZ22,MATCH($E23,$AE$1:$BZ$1,0)),"")</f>
        <v/>
      </c>
      <c r="M23" s="12">
        <f>IF(OR($K23="",$L23=""),"",($K23+100*$F23)-($L23+100*$G23))</f>
        <v/>
      </c>
      <c r="N23" s="13">
        <f>IF($M23="","",1/(1+10^(-$M23/400)))</f>
        <v/>
      </c>
      <c r="O23" s="7">
        <f>IF(OR($H23=0,$N23=""),"",IF($I23&gt;$J23,1,IF($I23=$J23,0.5,0)))</f>
        <v/>
      </c>
      <c r="P23" s="14">
        <f>IF($O23="","",IF(ABS($I23-$J23)&lt;=1,1,IF(ABS($I23-$J23)=2,1.5,IF(ABS($I23-$J23)=3,1.75,1.75+(ABS($I23-$J23)-3)/8))))</f>
        <v/>
      </c>
      <c r="Q23" s="14">
        <f>IF($O23="",0,Equipos!$O$4*$P23*($O23-$N23))</f>
        <v/>
      </c>
      <c r="R23" s="12">
        <f>IF($K23="","",$K23+$Q23)</f>
        <v/>
      </c>
      <c r="S23" s="12">
        <f>IF($L23="","",$L23-$Q23)</f>
        <v/>
      </c>
      <c r="T23" s="14">
        <f>IF($M23="","",Equipos!$O$3*$M23)</f>
        <v/>
      </c>
      <c r="U23" s="14">
        <f>IFERROR(VLOOKUP($D23,Equipos!$A:$H,6,0),"")</f>
        <v/>
      </c>
      <c r="V23" s="14">
        <f>IFERROR(VLOOKUP($D23,Equipos!$A:$H,7,0),"")</f>
        <v/>
      </c>
      <c r="W23" s="14">
        <f>IFERROR(VLOOKUP($E23,Equipos!$A:$H,6,0),"")</f>
        <v/>
      </c>
      <c r="X23" s="14">
        <f>IFERROR(VLOOKUP($E23,Equipos!$A:$H,7,0),"")</f>
        <v/>
      </c>
      <c r="Y23" s="14">
        <f>IF(OR($U23="",$W23=""),"",MIN(3.6,MAX(1.8,Equipos!$O$2*SQRT($U23*$W23*$V23*$X23))))</f>
        <v/>
      </c>
      <c r="Z23" s="14">
        <f>IF(OR($Y23="",$T23=""),"",MAX(0.2,($Y23+$T23)/2))</f>
        <v/>
      </c>
      <c r="AA23" s="14">
        <f>IF(OR($Y23="",$T23=""),"",MAX(0.2,($Y23-$T23)/2))</f>
        <v/>
      </c>
      <c r="AE23" s="15">
        <f>IF($D23=AE$1,$R23,IF($E23=AE$1,$S23,AE22))</f>
        <v/>
      </c>
      <c r="AF23" s="15">
        <f>IF($D23=AF$1,$R23,IF($E23=AF$1,$S23,AF22))</f>
        <v/>
      </c>
      <c r="AG23" s="15">
        <f>IF($D23=AG$1,$R23,IF($E23=AG$1,$S23,AG22))</f>
        <v/>
      </c>
      <c r="AH23" s="15">
        <f>IF($D23=AH$1,$R23,IF($E23=AH$1,$S23,AH22))</f>
        <v/>
      </c>
      <c r="AI23" s="15">
        <f>IF($D23=AI$1,$R23,IF($E23=AI$1,$S23,AI22))</f>
        <v/>
      </c>
      <c r="AJ23" s="15">
        <f>IF($D23=AJ$1,$R23,IF($E23=AJ$1,$S23,AJ22))</f>
        <v/>
      </c>
      <c r="AK23" s="15">
        <f>IF($D23=AK$1,$R23,IF($E23=AK$1,$S23,AK22))</f>
        <v/>
      </c>
      <c r="AL23" s="15">
        <f>IF($D23=AL$1,$R23,IF($E23=AL$1,$S23,AL22))</f>
        <v/>
      </c>
      <c r="AM23" s="15">
        <f>IF($D23=AM$1,$R23,IF($E23=AM$1,$S23,AM22))</f>
        <v/>
      </c>
      <c r="AN23" s="15">
        <f>IF($D23=AN$1,$R23,IF($E23=AN$1,$S23,AN22))</f>
        <v/>
      </c>
      <c r="AO23" s="15">
        <f>IF($D23=AO$1,$R23,IF($E23=AO$1,$S23,AO22))</f>
        <v/>
      </c>
      <c r="AP23" s="15">
        <f>IF($D23=AP$1,$R23,IF($E23=AP$1,$S23,AP22))</f>
        <v/>
      </c>
      <c r="AQ23" s="15">
        <f>IF($D23=AQ$1,$R23,IF($E23=AQ$1,$S23,AQ22))</f>
        <v/>
      </c>
      <c r="AR23" s="15">
        <f>IF($D23=AR$1,$R23,IF($E23=AR$1,$S23,AR22))</f>
        <v/>
      </c>
      <c r="AS23" s="15">
        <f>IF($D23=AS$1,$R23,IF($E23=AS$1,$S23,AS22))</f>
        <v/>
      </c>
      <c r="AT23" s="15">
        <f>IF($D23=AT$1,$R23,IF($E23=AT$1,$S23,AT22))</f>
        <v/>
      </c>
      <c r="AU23" s="15">
        <f>IF($D23=AU$1,$R23,IF($E23=AU$1,$S23,AU22))</f>
        <v/>
      </c>
      <c r="AV23" s="15">
        <f>IF($D23=AV$1,$R23,IF($E23=AV$1,$S23,AV22))</f>
        <v/>
      </c>
      <c r="AW23" s="15">
        <f>IF($D23=AW$1,$R23,IF($E23=AW$1,$S23,AW22))</f>
        <v/>
      </c>
      <c r="AX23" s="15">
        <f>IF($D23=AX$1,$R23,IF($E23=AX$1,$S23,AX22))</f>
        <v/>
      </c>
      <c r="AY23" s="15">
        <f>IF($D23=AY$1,$R23,IF($E23=AY$1,$S23,AY22))</f>
        <v/>
      </c>
      <c r="AZ23" s="15">
        <f>IF($D23=AZ$1,$R23,IF($E23=AZ$1,$S23,AZ22))</f>
        <v/>
      </c>
      <c r="BA23" s="15">
        <f>IF($D23=BA$1,$R23,IF($E23=BA$1,$S23,BA22))</f>
        <v/>
      </c>
      <c r="BB23" s="15">
        <f>IF($D23=BB$1,$R23,IF($E23=BB$1,$S23,BB22))</f>
        <v/>
      </c>
      <c r="BC23" s="15">
        <f>IF($D23=BC$1,$R23,IF($E23=BC$1,$S23,BC22))</f>
        <v/>
      </c>
      <c r="BD23" s="15">
        <f>IF($D23=BD$1,$R23,IF($E23=BD$1,$S23,BD22))</f>
        <v/>
      </c>
      <c r="BE23" s="15">
        <f>IF($D23=BE$1,$R23,IF($E23=BE$1,$S23,BE22))</f>
        <v/>
      </c>
      <c r="BF23" s="15">
        <f>IF($D23=BF$1,$R23,IF($E23=BF$1,$S23,BF22))</f>
        <v/>
      </c>
      <c r="BG23" s="15">
        <f>IF($D23=BG$1,$R23,IF($E23=BG$1,$S23,BG22))</f>
        <v/>
      </c>
      <c r="BH23" s="15">
        <f>IF($D23=BH$1,$R23,IF($E23=BH$1,$S23,BH22))</f>
        <v/>
      </c>
      <c r="BI23" s="15">
        <f>IF($D23=BI$1,$R23,IF($E23=BI$1,$S23,BI22))</f>
        <v/>
      </c>
      <c r="BJ23" s="15">
        <f>IF($D23=BJ$1,$R23,IF($E23=BJ$1,$S23,BJ22))</f>
        <v/>
      </c>
      <c r="BK23" s="15">
        <f>IF($D23=BK$1,$R23,IF($E23=BK$1,$S23,BK22))</f>
        <v/>
      </c>
      <c r="BL23" s="15">
        <f>IF($D23=BL$1,$R23,IF($E23=BL$1,$S23,BL22))</f>
        <v/>
      </c>
      <c r="BM23" s="15">
        <f>IF($D23=BM$1,$R23,IF($E23=BM$1,$S23,BM22))</f>
        <v/>
      </c>
      <c r="BN23" s="15">
        <f>IF($D23=BN$1,$R23,IF($E23=BN$1,$S23,BN22))</f>
        <v/>
      </c>
      <c r="BO23" s="15">
        <f>IF($D23=BO$1,$R23,IF($E23=BO$1,$S23,BO22))</f>
        <v/>
      </c>
      <c r="BP23" s="15">
        <f>IF($D23=BP$1,$R23,IF($E23=BP$1,$S23,BP22))</f>
        <v/>
      </c>
      <c r="BQ23" s="15">
        <f>IF($D23=BQ$1,$R23,IF($E23=BQ$1,$S23,BQ22))</f>
        <v/>
      </c>
      <c r="BR23" s="15">
        <f>IF($D23=BR$1,$R23,IF($E23=BR$1,$S23,BR22))</f>
        <v/>
      </c>
      <c r="BS23" s="15">
        <f>IF($D23=BS$1,$R23,IF($E23=BS$1,$S23,BS22))</f>
        <v/>
      </c>
      <c r="BT23" s="15">
        <f>IF($D23=BT$1,$R23,IF($E23=BT$1,$S23,BT22))</f>
        <v/>
      </c>
      <c r="BU23" s="15">
        <f>IF($D23=BU$1,$R23,IF($E23=BU$1,$S23,BU22))</f>
        <v/>
      </c>
      <c r="BV23" s="15">
        <f>IF($D23=BV$1,$R23,IF($E23=BV$1,$S23,BV22))</f>
        <v/>
      </c>
      <c r="BW23" s="15">
        <f>IF($D23=BW$1,$R23,IF($E23=BW$1,$S23,BW22))</f>
        <v/>
      </c>
      <c r="BX23" s="15">
        <f>IF($D23=BX$1,$R23,IF($E23=BX$1,$S23,BX22))</f>
        <v/>
      </c>
      <c r="BY23" s="15">
        <f>IF($D23=BY$1,$R23,IF($E23=BY$1,$S23,BY22))</f>
        <v/>
      </c>
      <c r="BZ23" s="15">
        <f>IF($D23=BZ$1,$R23,IF($E23=BZ$1,$S23,BZ22))</f>
        <v/>
      </c>
    </row>
    <row r="24" ht="15" customHeight="1">
      <c r="A24" s="7">
        <f>Fixture!A23</f>
        <v/>
      </c>
      <c r="B24" s="7">
        <f>Fixture!B23</f>
        <v/>
      </c>
      <c r="C24" s="7">
        <f>Fixture!C23</f>
        <v/>
      </c>
      <c r="D24" s="7">
        <f>Fixture!E23</f>
        <v/>
      </c>
      <c r="E24" s="7">
        <f>Fixture!F23</f>
        <v/>
      </c>
      <c r="F24" s="7">
        <f>Fixture!J23</f>
        <v/>
      </c>
      <c r="G24" s="7">
        <f>Fixture!K23</f>
        <v/>
      </c>
      <c r="H24" s="7">
        <f>IF(ISNUMBER(Resultados!B23),1,0)</f>
        <v/>
      </c>
      <c r="I24" s="7">
        <f>IF($H24=1,Resultados!B23,0)</f>
        <v/>
      </c>
      <c r="J24" s="7">
        <f>IF($H24=1,Resultados!C23,0)</f>
        <v/>
      </c>
      <c r="K24" s="12">
        <f>IFERROR(INDEX($AE23:$BZ23,MATCH($D24,$AE$1:$BZ$1,0)),"")</f>
        <v/>
      </c>
      <c r="L24" s="12">
        <f>IFERROR(INDEX($AE23:$BZ23,MATCH($E24,$AE$1:$BZ$1,0)),"")</f>
        <v/>
      </c>
      <c r="M24" s="12">
        <f>IF(OR($K24="",$L24=""),"",($K24+100*$F24)-($L24+100*$G24))</f>
        <v/>
      </c>
      <c r="N24" s="13">
        <f>IF($M24="","",1/(1+10^(-$M24/400)))</f>
        <v/>
      </c>
      <c r="O24" s="7">
        <f>IF(OR($H24=0,$N24=""),"",IF($I24&gt;$J24,1,IF($I24=$J24,0.5,0)))</f>
        <v/>
      </c>
      <c r="P24" s="14">
        <f>IF($O24="","",IF(ABS($I24-$J24)&lt;=1,1,IF(ABS($I24-$J24)=2,1.5,IF(ABS($I24-$J24)=3,1.75,1.75+(ABS($I24-$J24)-3)/8))))</f>
        <v/>
      </c>
      <c r="Q24" s="14">
        <f>IF($O24="",0,Equipos!$O$4*$P24*($O24-$N24))</f>
        <v/>
      </c>
      <c r="R24" s="12">
        <f>IF($K24="","",$K24+$Q24)</f>
        <v/>
      </c>
      <c r="S24" s="12">
        <f>IF($L24="","",$L24-$Q24)</f>
        <v/>
      </c>
      <c r="T24" s="14">
        <f>IF($M24="","",Equipos!$O$3*$M24)</f>
        <v/>
      </c>
      <c r="U24" s="14">
        <f>IFERROR(VLOOKUP($D24,Equipos!$A:$H,6,0),"")</f>
        <v/>
      </c>
      <c r="V24" s="14">
        <f>IFERROR(VLOOKUP($D24,Equipos!$A:$H,7,0),"")</f>
        <v/>
      </c>
      <c r="W24" s="14">
        <f>IFERROR(VLOOKUP($E24,Equipos!$A:$H,6,0),"")</f>
        <v/>
      </c>
      <c r="X24" s="14">
        <f>IFERROR(VLOOKUP($E24,Equipos!$A:$H,7,0),"")</f>
        <v/>
      </c>
      <c r="Y24" s="14">
        <f>IF(OR($U24="",$W24=""),"",MIN(3.6,MAX(1.8,Equipos!$O$2*SQRT($U24*$W24*$V24*$X24))))</f>
        <v/>
      </c>
      <c r="Z24" s="14">
        <f>IF(OR($Y24="",$T24=""),"",MAX(0.2,($Y24+$T24)/2))</f>
        <v/>
      </c>
      <c r="AA24" s="14">
        <f>IF(OR($Y24="",$T24=""),"",MAX(0.2,($Y24-$T24)/2))</f>
        <v/>
      </c>
      <c r="AE24" s="15">
        <f>IF($D24=AE$1,$R24,IF($E24=AE$1,$S24,AE23))</f>
        <v/>
      </c>
      <c r="AF24" s="15">
        <f>IF($D24=AF$1,$R24,IF($E24=AF$1,$S24,AF23))</f>
        <v/>
      </c>
      <c r="AG24" s="15">
        <f>IF($D24=AG$1,$R24,IF($E24=AG$1,$S24,AG23))</f>
        <v/>
      </c>
      <c r="AH24" s="15">
        <f>IF($D24=AH$1,$R24,IF($E24=AH$1,$S24,AH23))</f>
        <v/>
      </c>
      <c r="AI24" s="15">
        <f>IF($D24=AI$1,$R24,IF($E24=AI$1,$S24,AI23))</f>
        <v/>
      </c>
      <c r="AJ24" s="15">
        <f>IF($D24=AJ$1,$R24,IF($E24=AJ$1,$S24,AJ23))</f>
        <v/>
      </c>
      <c r="AK24" s="15">
        <f>IF($D24=AK$1,$R24,IF($E24=AK$1,$S24,AK23))</f>
        <v/>
      </c>
      <c r="AL24" s="15">
        <f>IF($D24=AL$1,$R24,IF($E24=AL$1,$S24,AL23))</f>
        <v/>
      </c>
      <c r="AM24" s="15">
        <f>IF($D24=AM$1,$R24,IF($E24=AM$1,$S24,AM23))</f>
        <v/>
      </c>
      <c r="AN24" s="15">
        <f>IF($D24=AN$1,$R24,IF($E24=AN$1,$S24,AN23))</f>
        <v/>
      </c>
      <c r="AO24" s="15">
        <f>IF($D24=AO$1,$R24,IF($E24=AO$1,$S24,AO23))</f>
        <v/>
      </c>
      <c r="AP24" s="15">
        <f>IF($D24=AP$1,$R24,IF($E24=AP$1,$S24,AP23))</f>
        <v/>
      </c>
      <c r="AQ24" s="15">
        <f>IF($D24=AQ$1,$R24,IF($E24=AQ$1,$S24,AQ23))</f>
        <v/>
      </c>
      <c r="AR24" s="15">
        <f>IF($D24=AR$1,$R24,IF($E24=AR$1,$S24,AR23))</f>
        <v/>
      </c>
      <c r="AS24" s="15">
        <f>IF($D24=AS$1,$R24,IF($E24=AS$1,$S24,AS23))</f>
        <v/>
      </c>
      <c r="AT24" s="15">
        <f>IF($D24=AT$1,$R24,IF($E24=AT$1,$S24,AT23))</f>
        <v/>
      </c>
      <c r="AU24" s="15">
        <f>IF($D24=AU$1,$R24,IF($E24=AU$1,$S24,AU23))</f>
        <v/>
      </c>
      <c r="AV24" s="15">
        <f>IF($D24=AV$1,$R24,IF($E24=AV$1,$S24,AV23))</f>
        <v/>
      </c>
      <c r="AW24" s="15">
        <f>IF($D24=AW$1,$R24,IF($E24=AW$1,$S24,AW23))</f>
        <v/>
      </c>
      <c r="AX24" s="15">
        <f>IF($D24=AX$1,$R24,IF($E24=AX$1,$S24,AX23))</f>
        <v/>
      </c>
      <c r="AY24" s="15">
        <f>IF($D24=AY$1,$R24,IF($E24=AY$1,$S24,AY23))</f>
        <v/>
      </c>
      <c r="AZ24" s="15">
        <f>IF($D24=AZ$1,$R24,IF($E24=AZ$1,$S24,AZ23))</f>
        <v/>
      </c>
      <c r="BA24" s="15">
        <f>IF($D24=BA$1,$R24,IF($E24=BA$1,$S24,BA23))</f>
        <v/>
      </c>
      <c r="BB24" s="15">
        <f>IF($D24=BB$1,$R24,IF($E24=BB$1,$S24,BB23))</f>
        <v/>
      </c>
      <c r="BC24" s="15">
        <f>IF($D24=BC$1,$R24,IF($E24=BC$1,$S24,BC23))</f>
        <v/>
      </c>
      <c r="BD24" s="15">
        <f>IF($D24=BD$1,$R24,IF($E24=BD$1,$S24,BD23))</f>
        <v/>
      </c>
      <c r="BE24" s="15">
        <f>IF($D24=BE$1,$R24,IF($E24=BE$1,$S24,BE23))</f>
        <v/>
      </c>
      <c r="BF24" s="15">
        <f>IF($D24=BF$1,$R24,IF($E24=BF$1,$S24,BF23))</f>
        <v/>
      </c>
      <c r="BG24" s="15">
        <f>IF($D24=BG$1,$R24,IF($E24=BG$1,$S24,BG23))</f>
        <v/>
      </c>
      <c r="BH24" s="15">
        <f>IF($D24=BH$1,$R24,IF($E24=BH$1,$S24,BH23))</f>
        <v/>
      </c>
      <c r="BI24" s="15">
        <f>IF($D24=BI$1,$R24,IF($E24=BI$1,$S24,BI23))</f>
        <v/>
      </c>
      <c r="BJ24" s="15">
        <f>IF($D24=BJ$1,$R24,IF($E24=BJ$1,$S24,BJ23))</f>
        <v/>
      </c>
      <c r="BK24" s="15">
        <f>IF($D24=BK$1,$R24,IF($E24=BK$1,$S24,BK23))</f>
        <v/>
      </c>
      <c r="BL24" s="15">
        <f>IF($D24=BL$1,$R24,IF($E24=BL$1,$S24,BL23))</f>
        <v/>
      </c>
      <c r="BM24" s="15">
        <f>IF($D24=BM$1,$R24,IF($E24=BM$1,$S24,BM23))</f>
        <v/>
      </c>
      <c r="BN24" s="15">
        <f>IF($D24=BN$1,$R24,IF($E24=BN$1,$S24,BN23))</f>
        <v/>
      </c>
      <c r="BO24" s="15">
        <f>IF($D24=BO$1,$R24,IF($E24=BO$1,$S24,BO23))</f>
        <v/>
      </c>
      <c r="BP24" s="15">
        <f>IF($D24=BP$1,$R24,IF($E24=BP$1,$S24,BP23))</f>
        <v/>
      </c>
      <c r="BQ24" s="15">
        <f>IF($D24=BQ$1,$R24,IF($E24=BQ$1,$S24,BQ23))</f>
        <v/>
      </c>
      <c r="BR24" s="15">
        <f>IF($D24=BR$1,$R24,IF($E24=BR$1,$S24,BR23))</f>
        <v/>
      </c>
      <c r="BS24" s="15">
        <f>IF($D24=BS$1,$R24,IF($E24=BS$1,$S24,BS23))</f>
        <v/>
      </c>
      <c r="BT24" s="15">
        <f>IF($D24=BT$1,$R24,IF($E24=BT$1,$S24,BT23))</f>
        <v/>
      </c>
      <c r="BU24" s="15">
        <f>IF($D24=BU$1,$R24,IF($E24=BU$1,$S24,BU23))</f>
        <v/>
      </c>
      <c r="BV24" s="15">
        <f>IF($D24=BV$1,$R24,IF($E24=BV$1,$S24,BV23))</f>
        <v/>
      </c>
      <c r="BW24" s="15">
        <f>IF($D24=BW$1,$R24,IF($E24=BW$1,$S24,BW23))</f>
        <v/>
      </c>
      <c r="BX24" s="15">
        <f>IF($D24=BX$1,$R24,IF($E24=BX$1,$S24,BX23))</f>
        <v/>
      </c>
      <c r="BY24" s="15">
        <f>IF($D24=BY$1,$R24,IF($E24=BY$1,$S24,BY23))</f>
        <v/>
      </c>
      <c r="BZ24" s="15">
        <f>IF($D24=BZ$1,$R24,IF($E24=BZ$1,$S24,BZ23))</f>
        <v/>
      </c>
    </row>
    <row r="25" ht="15" customHeight="1">
      <c r="A25" s="7">
        <f>Fixture!A24</f>
        <v/>
      </c>
      <c r="B25" s="7">
        <f>Fixture!B24</f>
        <v/>
      </c>
      <c r="C25" s="7">
        <f>Fixture!C24</f>
        <v/>
      </c>
      <c r="D25" s="7">
        <f>Fixture!E24</f>
        <v/>
      </c>
      <c r="E25" s="7">
        <f>Fixture!F24</f>
        <v/>
      </c>
      <c r="F25" s="7">
        <f>Fixture!J24</f>
        <v/>
      </c>
      <c r="G25" s="7">
        <f>Fixture!K24</f>
        <v/>
      </c>
      <c r="H25" s="7">
        <f>IF(ISNUMBER(Resultados!B24),1,0)</f>
        <v/>
      </c>
      <c r="I25" s="7">
        <f>IF($H25=1,Resultados!B24,0)</f>
        <v/>
      </c>
      <c r="J25" s="7">
        <f>IF($H25=1,Resultados!C24,0)</f>
        <v/>
      </c>
      <c r="K25" s="12">
        <f>IFERROR(INDEX($AE24:$BZ24,MATCH($D25,$AE$1:$BZ$1,0)),"")</f>
        <v/>
      </c>
      <c r="L25" s="12">
        <f>IFERROR(INDEX($AE24:$BZ24,MATCH($E25,$AE$1:$BZ$1,0)),"")</f>
        <v/>
      </c>
      <c r="M25" s="12">
        <f>IF(OR($K25="",$L25=""),"",($K25+100*$F25)-($L25+100*$G25))</f>
        <v/>
      </c>
      <c r="N25" s="13">
        <f>IF($M25="","",1/(1+10^(-$M25/400)))</f>
        <v/>
      </c>
      <c r="O25" s="7">
        <f>IF(OR($H25=0,$N25=""),"",IF($I25&gt;$J25,1,IF($I25=$J25,0.5,0)))</f>
        <v/>
      </c>
      <c r="P25" s="14">
        <f>IF($O25="","",IF(ABS($I25-$J25)&lt;=1,1,IF(ABS($I25-$J25)=2,1.5,IF(ABS($I25-$J25)=3,1.75,1.75+(ABS($I25-$J25)-3)/8))))</f>
        <v/>
      </c>
      <c r="Q25" s="14">
        <f>IF($O25="",0,Equipos!$O$4*$P25*($O25-$N25))</f>
        <v/>
      </c>
      <c r="R25" s="12">
        <f>IF($K25="","",$K25+$Q25)</f>
        <v/>
      </c>
      <c r="S25" s="12">
        <f>IF($L25="","",$L25-$Q25)</f>
        <v/>
      </c>
      <c r="T25" s="14">
        <f>IF($M25="","",Equipos!$O$3*$M25)</f>
        <v/>
      </c>
      <c r="U25" s="14">
        <f>IFERROR(VLOOKUP($D25,Equipos!$A:$H,6,0),"")</f>
        <v/>
      </c>
      <c r="V25" s="14">
        <f>IFERROR(VLOOKUP($D25,Equipos!$A:$H,7,0),"")</f>
        <v/>
      </c>
      <c r="W25" s="14">
        <f>IFERROR(VLOOKUP($E25,Equipos!$A:$H,6,0),"")</f>
        <v/>
      </c>
      <c r="X25" s="14">
        <f>IFERROR(VLOOKUP($E25,Equipos!$A:$H,7,0),"")</f>
        <v/>
      </c>
      <c r="Y25" s="14">
        <f>IF(OR($U25="",$W25=""),"",MIN(3.6,MAX(1.8,Equipos!$O$2*SQRT($U25*$W25*$V25*$X25))))</f>
        <v/>
      </c>
      <c r="Z25" s="14">
        <f>IF(OR($Y25="",$T25=""),"",MAX(0.2,($Y25+$T25)/2))</f>
        <v/>
      </c>
      <c r="AA25" s="14">
        <f>IF(OR($Y25="",$T25=""),"",MAX(0.2,($Y25-$T25)/2))</f>
        <v/>
      </c>
      <c r="AE25" s="15">
        <f>IF($D25=AE$1,$R25,IF($E25=AE$1,$S25,AE24))</f>
        <v/>
      </c>
      <c r="AF25" s="15">
        <f>IF($D25=AF$1,$R25,IF($E25=AF$1,$S25,AF24))</f>
        <v/>
      </c>
      <c r="AG25" s="15">
        <f>IF($D25=AG$1,$R25,IF($E25=AG$1,$S25,AG24))</f>
        <v/>
      </c>
      <c r="AH25" s="15">
        <f>IF($D25=AH$1,$R25,IF($E25=AH$1,$S25,AH24))</f>
        <v/>
      </c>
      <c r="AI25" s="15">
        <f>IF($D25=AI$1,$R25,IF($E25=AI$1,$S25,AI24))</f>
        <v/>
      </c>
      <c r="AJ25" s="15">
        <f>IF($D25=AJ$1,$R25,IF($E25=AJ$1,$S25,AJ24))</f>
        <v/>
      </c>
      <c r="AK25" s="15">
        <f>IF($D25=AK$1,$R25,IF($E25=AK$1,$S25,AK24))</f>
        <v/>
      </c>
      <c r="AL25" s="15">
        <f>IF($D25=AL$1,$R25,IF($E25=AL$1,$S25,AL24))</f>
        <v/>
      </c>
      <c r="AM25" s="15">
        <f>IF($D25=AM$1,$R25,IF($E25=AM$1,$S25,AM24))</f>
        <v/>
      </c>
      <c r="AN25" s="15">
        <f>IF($D25=AN$1,$R25,IF($E25=AN$1,$S25,AN24))</f>
        <v/>
      </c>
      <c r="AO25" s="15">
        <f>IF($D25=AO$1,$R25,IF($E25=AO$1,$S25,AO24))</f>
        <v/>
      </c>
      <c r="AP25" s="15">
        <f>IF($D25=AP$1,$R25,IF($E25=AP$1,$S25,AP24))</f>
        <v/>
      </c>
      <c r="AQ25" s="15">
        <f>IF($D25=AQ$1,$R25,IF($E25=AQ$1,$S25,AQ24))</f>
        <v/>
      </c>
      <c r="AR25" s="15">
        <f>IF($D25=AR$1,$R25,IF($E25=AR$1,$S25,AR24))</f>
        <v/>
      </c>
      <c r="AS25" s="15">
        <f>IF($D25=AS$1,$R25,IF($E25=AS$1,$S25,AS24))</f>
        <v/>
      </c>
      <c r="AT25" s="15">
        <f>IF($D25=AT$1,$R25,IF($E25=AT$1,$S25,AT24))</f>
        <v/>
      </c>
      <c r="AU25" s="15">
        <f>IF($D25=AU$1,$R25,IF($E25=AU$1,$S25,AU24))</f>
        <v/>
      </c>
      <c r="AV25" s="15">
        <f>IF($D25=AV$1,$R25,IF($E25=AV$1,$S25,AV24))</f>
        <v/>
      </c>
      <c r="AW25" s="15">
        <f>IF($D25=AW$1,$R25,IF($E25=AW$1,$S25,AW24))</f>
        <v/>
      </c>
      <c r="AX25" s="15">
        <f>IF($D25=AX$1,$R25,IF($E25=AX$1,$S25,AX24))</f>
        <v/>
      </c>
      <c r="AY25" s="15">
        <f>IF($D25=AY$1,$R25,IF($E25=AY$1,$S25,AY24))</f>
        <v/>
      </c>
      <c r="AZ25" s="15">
        <f>IF($D25=AZ$1,$R25,IF($E25=AZ$1,$S25,AZ24))</f>
        <v/>
      </c>
      <c r="BA25" s="15">
        <f>IF($D25=BA$1,$R25,IF($E25=BA$1,$S25,BA24))</f>
        <v/>
      </c>
      <c r="BB25" s="15">
        <f>IF($D25=BB$1,$R25,IF($E25=BB$1,$S25,BB24))</f>
        <v/>
      </c>
      <c r="BC25" s="15">
        <f>IF($D25=BC$1,$R25,IF($E25=BC$1,$S25,BC24))</f>
        <v/>
      </c>
      <c r="BD25" s="15">
        <f>IF($D25=BD$1,$R25,IF($E25=BD$1,$S25,BD24))</f>
        <v/>
      </c>
      <c r="BE25" s="15">
        <f>IF($D25=BE$1,$R25,IF($E25=BE$1,$S25,BE24))</f>
        <v/>
      </c>
      <c r="BF25" s="15">
        <f>IF($D25=BF$1,$R25,IF($E25=BF$1,$S25,BF24))</f>
        <v/>
      </c>
      <c r="BG25" s="15">
        <f>IF($D25=BG$1,$R25,IF($E25=BG$1,$S25,BG24))</f>
        <v/>
      </c>
      <c r="BH25" s="15">
        <f>IF($D25=BH$1,$R25,IF($E25=BH$1,$S25,BH24))</f>
        <v/>
      </c>
      <c r="BI25" s="15">
        <f>IF($D25=BI$1,$R25,IF($E25=BI$1,$S25,BI24))</f>
        <v/>
      </c>
      <c r="BJ25" s="15">
        <f>IF($D25=BJ$1,$R25,IF($E25=BJ$1,$S25,BJ24))</f>
        <v/>
      </c>
      <c r="BK25" s="15">
        <f>IF($D25=BK$1,$R25,IF($E25=BK$1,$S25,BK24))</f>
        <v/>
      </c>
      <c r="BL25" s="15">
        <f>IF($D25=BL$1,$R25,IF($E25=BL$1,$S25,BL24))</f>
        <v/>
      </c>
      <c r="BM25" s="15">
        <f>IF($D25=BM$1,$R25,IF($E25=BM$1,$S25,BM24))</f>
        <v/>
      </c>
      <c r="BN25" s="15">
        <f>IF($D25=BN$1,$R25,IF($E25=BN$1,$S25,BN24))</f>
        <v/>
      </c>
      <c r="BO25" s="15">
        <f>IF($D25=BO$1,$R25,IF($E25=BO$1,$S25,BO24))</f>
        <v/>
      </c>
      <c r="BP25" s="15">
        <f>IF($D25=BP$1,$R25,IF($E25=BP$1,$S25,BP24))</f>
        <v/>
      </c>
      <c r="BQ25" s="15">
        <f>IF($D25=BQ$1,$R25,IF($E25=BQ$1,$S25,BQ24))</f>
        <v/>
      </c>
      <c r="BR25" s="15">
        <f>IF($D25=BR$1,$R25,IF($E25=BR$1,$S25,BR24))</f>
        <v/>
      </c>
      <c r="BS25" s="15">
        <f>IF($D25=BS$1,$R25,IF($E25=BS$1,$S25,BS24))</f>
        <v/>
      </c>
      <c r="BT25" s="15">
        <f>IF($D25=BT$1,$R25,IF($E25=BT$1,$S25,BT24))</f>
        <v/>
      </c>
      <c r="BU25" s="15">
        <f>IF($D25=BU$1,$R25,IF($E25=BU$1,$S25,BU24))</f>
        <v/>
      </c>
      <c r="BV25" s="15">
        <f>IF($D25=BV$1,$R25,IF($E25=BV$1,$S25,BV24))</f>
        <v/>
      </c>
      <c r="BW25" s="15">
        <f>IF($D25=BW$1,$R25,IF($E25=BW$1,$S25,BW24))</f>
        <v/>
      </c>
      <c r="BX25" s="15">
        <f>IF($D25=BX$1,$R25,IF($E25=BX$1,$S25,BX24))</f>
        <v/>
      </c>
      <c r="BY25" s="15">
        <f>IF($D25=BY$1,$R25,IF($E25=BY$1,$S25,BY24))</f>
        <v/>
      </c>
      <c r="BZ25" s="15">
        <f>IF($D25=BZ$1,$R25,IF($E25=BZ$1,$S25,BZ24))</f>
        <v/>
      </c>
    </row>
    <row r="26" ht="15" customHeight="1">
      <c r="A26" s="7">
        <f>Fixture!A25</f>
        <v/>
      </c>
      <c r="B26" s="7">
        <f>Fixture!B25</f>
        <v/>
      </c>
      <c r="C26" s="7">
        <f>Fixture!C25</f>
        <v/>
      </c>
      <c r="D26" s="7">
        <f>Fixture!E25</f>
        <v/>
      </c>
      <c r="E26" s="7">
        <f>Fixture!F25</f>
        <v/>
      </c>
      <c r="F26" s="7">
        <f>Fixture!J25</f>
        <v/>
      </c>
      <c r="G26" s="7">
        <f>Fixture!K25</f>
        <v/>
      </c>
      <c r="H26" s="7">
        <f>IF(ISNUMBER(Resultados!B25),1,0)</f>
        <v/>
      </c>
      <c r="I26" s="7">
        <f>IF($H26=1,Resultados!B25,0)</f>
        <v/>
      </c>
      <c r="J26" s="7">
        <f>IF($H26=1,Resultados!C25,0)</f>
        <v/>
      </c>
      <c r="K26" s="12">
        <f>IFERROR(INDEX($AE25:$BZ25,MATCH($D26,$AE$1:$BZ$1,0)),"")</f>
        <v/>
      </c>
      <c r="L26" s="12">
        <f>IFERROR(INDEX($AE25:$BZ25,MATCH($E26,$AE$1:$BZ$1,0)),"")</f>
        <v/>
      </c>
      <c r="M26" s="12">
        <f>IF(OR($K26="",$L26=""),"",($K26+100*$F26)-($L26+100*$G26))</f>
        <v/>
      </c>
      <c r="N26" s="13">
        <f>IF($M26="","",1/(1+10^(-$M26/400)))</f>
        <v/>
      </c>
      <c r="O26" s="7">
        <f>IF(OR($H26=0,$N26=""),"",IF($I26&gt;$J26,1,IF($I26=$J26,0.5,0)))</f>
        <v/>
      </c>
      <c r="P26" s="14">
        <f>IF($O26="","",IF(ABS($I26-$J26)&lt;=1,1,IF(ABS($I26-$J26)=2,1.5,IF(ABS($I26-$J26)=3,1.75,1.75+(ABS($I26-$J26)-3)/8))))</f>
        <v/>
      </c>
      <c r="Q26" s="14">
        <f>IF($O26="",0,Equipos!$O$4*$P26*($O26-$N26))</f>
        <v/>
      </c>
      <c r="R26" s="12">
        <f>IF($K26="","",$K26+$Q26)</f>
        <v/>
      </c>
      <c r="S26" s="12">
        <f>IF($L26="","",$L26-$Q26)</f>
        <v/>
      </c>
      <c r="T26" s="14">
        <f>IF($M26="","",Equipos!$O$3*$M26)</f>
        <v/>
      </c>
      <c r="U26" s="14">
        <f>IFERROR(VLOOKUP($D26,Equipos!$A:$H,6,0),"")</f>
        <v/>
      </c>
      <c r="V26" s="14">
        <f>IFERROR(VLOOKUP($D26,Equipos!$A:$H,7,0),"")</f>
        <v/>
      </c>
      <c r="W26" s="14">
        <f>IFERROR(VLOOKUP($E26,Equipos!$A:$H,6,0),"")</f>
        <v/>
      </c>
      <c r="X26" s="14">
        <f>IFERROR(VLOOKUP($E26,Equipos!$A:$H,7,0),"")</f>
        <v/>
      </c>
      <c r="Y26" s="14">
        <f>IF(OR($U26="",$W26=""),"",MIN(3.6,MAX(1.8,Equipos!$O$2*SQRT($U26*$W26*$V26*$X26))))</f>
        <v/>
      </c>
      <c r="Z26" s="14">
        <f>IF(OR($Y26="",$T26=""),"",MAX(0.2,($Y26+$T26)/2))</f>
        <v/>
      </c>
      <c r="AA26" s="14">
        <f>IF(OR($Y26="",$T26=""),"",MAX(0.2,($Y26-$T26)/2))</f>
        <v/>
      </c>
      <c r="AE26" s="15">
        <f>IF($D26=AE$1,$R26,IF($E26=AE$1,$S26,AE25))</f>
        <v/>
      </c>
      <c r="AF26" s="15">
        <f>IF($D26=AF$1,$R26,IF($E26=AF$1,$S26,AF25))</f>
        <v/>
      </c>
      <c r="AG26" s="15">
        <f>IF($D26=AG$1,$R26,IF($E26=AG$1,$S26,AG25))</f>
        <v/>
      </c>
      <c r="AH26" s="15">
        <f>IF($D26=AH$1,$R26,IF($E26=AH$1,$S26,AH25))</f>
        <v/>
      </c>
      <c r="AI26" s="15">
        <f>IF($D26=AI$1,$R26,IF($E26=AI$1,$S26,AI25))</f>
        <v/>
      </c>
      <c r="AJ26" s="15">
        <f>IF($D26=AJ$1,$R26,IF($E26=AJ$1,$S26,AJ25))</f>
        <v/>
      </c>
      <c r="AK26" s="15">
        <f>IF($D26=AK$1,$R26,IF($E26=AK$1,$S26,AK25))</f>
        <v/>
      </c>
      <c r="AL26" s="15">
        <f>IF($D26=AL$1,$R26,IF($E26=AL$1,$S26,AL25))</f>
        <v/>
      </c>
      <c r="AM26" s="15">
        <f>IF($D26=AM$1,$R26,IF($E26=AM$1,$S26,AM25))</f>
        <v/>
      </c>
      <c r="AN26" s="15">
        <f>IF($D26=AN$1,$R26,IF($E26=AN$1,$S26,AN25))</f>
        <v/>
      </c>
      <c r="AO26" s="15">
        <f>IF($D26=AO$1,$R26,IF($E26=AO$1,$S26,AO25))</f>
        <v/>
      </c>
      <c r="AP26" s="15">
        <f>IF($D26=AP$1,$R26,IF($E26=AP$1,$S26,AP25))</f>
        <v/>
      </c>
      <c r="AQ26" s="15">
        <f>IF($D26=AQ$1,$R26,IF($E26=AQ$1,$S26,AQ25))</f>
        <v/>
      </c>
      <c r="AR26" s="15">
        <f>IF($D26=AR$1,$R26,IF($E26=AR$1,$S26,AR25))</f>
        <v/>
      </c>
      <c r="AS26" s="15">
        <f>IF($D26=AS$1,$R26,IF($E26=AS$1,$S26,AS25))</f>
        <v/>
      </c>
      <c r="AT26" s="15">
        <f>IF($D26=AT$1,$R26,IF($E26=AT$1,$S26,AT25))</f>
        <v/>
      </c>
      <c r="AU26" s="15">
        <f>IF($D26=AU$1,$R26,IF($E26=AU$1,$S26,AU25))</f>
        <v/>
      </c>
      <c r="AV26" s="15">
        <f>IF($D26=AV$1,$R26,IF($E26=AV$1,$S26,AV25))</f>
        <v/>
      </c>
      <c r="AW26" s="15">
        <f>IF($D26=AW$1,$R26,IF($E26=AW$1,$S26,AW25))</f>
        <v/>
      </c>
      <c r="AX26" s="15">
        <f>IF($D26=AX$1,$R26,IF($E26=AX$1,$S26,AX25))</f>
        <v/>
      </c>
      <c r="AY26" s="15">
        <f>IF($D26=AY$1,$R26,IF($E26=AY$1,$S26,AY25))</f>
        <v/>
      </c>
      <c r="AZ26" s="15">
        <f>IF($D26=AZ$1,$R26,IF($E26=AZ$1,$S26,AZ25))</f>
        <v/>
      </c>
      <c r="BA26" s="15">
        <f>IF($D26=BA$1,$R26,IF($E26=BA$1,$S26,BA25))</f>
        <v/>
      </c>
      <c r="BB26" s="15">
        <f>IF($D26=BB$1,$R26,IF($E26=BB$1,$S26,BB25))</f>
        <v/>
      </c>
      <c r="BC26" s="15">
        <f>IF($D26=BC$1,$R26,IF($E26=BC$1,$S26,BC25))</f>
        <v/>
      </c>
      <c r="BD26" s="15">
        <f>IF($D26=BD$1,$R26,IF($E26=BD$1,$S26,BD25))</f>
        <v/>
      </c>
      <c r="BE26" s="15">
        <f>IF($D26=BE$1,$R26,IF($E26=BE$1,$S26,BE25))</f>
        <v/>
      </c>
      <c r="BF26" s="15">
        <f>IF($D26=BF$1,$R26,IF($E26=BF$1,$S26,BF25))</f>
        <v/>
      </c>
      <c r="BG26" s="15">
        <f>IF($D26=BG$1,$R26,IF($E26=BG$1,$S26,BG25))</f>
        <v/>
      </c>
      <c r="BH26" s="15">
        <f>IF($D26=BH$1,$R26,IF($E26=BH$1,$S26,BH25))</f>
        <v/>
      </c>
      <c r="BI26" s="15">
        <f>IF($D26=BI$1,$R26,IF($E26=BI$1,$S26,BI25))</f>
        <v/>
      </c>
      <c r="BJ26" s="15">
        <f>IF($D26=BJ$1,$R26,IF($E26=BJ$1,$S26,BJ25))</f>
        <v/>
      </c>
      <c r="BK26" s="15">
        <f>IF($D26=BK$1,$R26,IF($E26=BK$1,$S26,BK25))</f>
        <v/>
      </c>
      <c r="BL26" s="15">
        <f>IF($D26=BL$1,$R26,IF($E26=BL$1,$S26,BL25))</f>
        <v/>
      </c>
      <c r="BM26" s="15">
        <f>IF($D26=BM$1,$R26,IF($E26=BM$1,$S26,BM25))</f>
        <v/>
      </c>
      <c r="BN26" s="15">
        <f>IF($D26=BN$1,$R26,IF($E26=BN$1,$S26,BN25))</f>
        <v/>
      </c>
      <c r="BO26" s="15">
        <f>IF($D26=BO$1,$R26,IF($E26=BO$1,$S26,BO25))</f>
        <v/>
      </c>
      <c r="BP26" s="15">
        <f>IF($D26=BP$1,$R26,IF($E26=BP$1,$S26,BP25))</f>
        <v/>
      </c>
      <c r="BQ26" s="15">
        <f>IF($D26=BQ$1,$R26,IF($E26=BQ$1,$S26,BQ25))</f>
        <v/>
      </c>
      <c r="BR26" s="15">
        <f>IF($D26=BR$1,$R26,IF($E26=BR$1,$S26,BR25))</f>
        <v/>
      </c>
      <c r="BS26" s="15">
        <f>IF($D26=BS$1,$R26,IF($E26=BS$1,$S26,BS25))</f>
        <v/>
      </c>
      <c r="BT26" s="15">
        <f>IF($D26=BT$1,$R26,IF($E26=BT$1,$S26,BT25))</f>
        <v/>
      </c>
      <c r="BU26" s="15">
        <f>IF($D26=BU$1,$R26,IF($E26=BU$1,$S26,BU25))</f>
        <v/>
      </c>
      <c r="BV26" s="15">
        <f>IF($D26=BV$1,$R26,IF($E26=BV$1,$S26,BV25))</f>
        <v/>
      </c>
      <c r="BW26" s="15">
        <f>IF($D26=BW$1,$R26,IF($E26=BW$1,$S26,BW25))</f>
        <v/>
      </c>
      <c r="BX26" s="15">
        <f>IF($D26=BX$1,$R26,IF($E26=BX$1,$S26,BX25))</f>
        <v/>
      </c>
      <c r="BY26" s="15">
        <f>IF($D26=BY$1,$R26,IF($E26=BY$1,$S26,BY25))</f>
        <v/>
      </c>
      <c r="BZ26" s="15">
        <f>IF($D26=BZ$1,$R26,IF($E26=BZ$1,$S26,BZ25))</f>
        <v/>
      </c>
    </row>
    <row r="27" ht="15" customHeight="1">
      <c r="A27" s="7">
        <f>Fixture!A26</f>
        <v/>
      </c>
      <c r="B27" s="7">
        <f>Fixture!B26</f>
        <v/>
      </c>
      <c r="C27" s="7">
        <f>Fixture!C26</f>
        <v/>
      </c>
      <c r="D27" s="7">
        <f>Fixture!E26</f>
        <v/>
      </c>
      <c r="E27" s="7">
        <f>Fixture!F26</f>
        <v/>
      </c>
      <c r="F27" s="7">
        <f>Fixture!J26</f>
        <v/>
      </c>
      <c r="G27" s="7">
        <f>Fixture!K26</f>
        <v/>
      </c>
      <c r="H27" s="7">
        <f>IF(ISNUMBER(Resultados!B26),1,0)</f>
        <v/>
      </c>
      <c r="I27" s="7">
        <f>IF($H27=1,Resultados!B26,0)</f>
        <v/>
      </c>
      <c r="J27" s="7">
        <f>IF($H27=1,Resultados!C26,0)</f>
        <v/>
      </c>
      <c r="K27" s="12">
        <f>IFERROR(INDEX($AE26:$BZ26,MATCH($D27,$AE$1:$BZ$1,0)),"")</f>
        <v/>
      </c>
      <c r="L27" s="12">
        <f>IFERROR(INDEX($AE26:$BZ26,MATCH($E27,$AE$1:$BZ$1,0)),"")</f>
        <v/>
      </c>
      <c r="M27" s="12">
        <f>IF(OR($K27="",$L27=""),"",($K27+100*$F27)-($L27+100*$G27))</f>
        <v/>
      </c>
      <c r="N27" s="13">
        <f>IF($M27="","",1/(1+10^(-$M27/400)))</f>
        <v/>
      </c>
      <c r="O27" s="7">
        <f>IF(OR($H27=0,$N27=""),"",IF($I27&gt;$J27,1,IF($I27=$J27,0.5,0)))</f>
        <v/>
      </c>
      <c r="P27" s="14">
        <f>IF($O27="","",IF(ABS($I27-$J27)&lt;=1,1,IF(ABS($I27-$J27)=2,1.5,IF(ABS($I27-$J27)=3,1.75,1.75+(ABS($I27-$J27)-3)/8))))</f>
        <v/>
      </c>
      <c r="Q27" s="14">
        <f>IF($O27="",0,Equipos!$O$4*$P27*($O27-$N27))</f>
        <v/>
      </c>
      <c r="R27" s="12">
        <f>IF($K27="","",$K27+$Q27)</f>
        <v/>
      </c>
      <c r="S27" s="12">
        <f>IF($L27="","",$L27-$Q27)</f>
        <v/>
      </c>
      <c r="T27" s="14">
        <f>IF($M27="","",Equipos!$O$3*$M27)</f>
        <v/>
      </c>
      <c r="U27" s="14">
        <f>IFERROR(VLOOKUP($D27,Equipos!$A:$H,6,0),"")</f>
        <v/>
      </c>
      <c r="V27" s="14">
        <f>IFERROR(VLOOKUP($D27,Equipos!$A:$H,7,0),"")</f>
        <v/>
      </c>
      <c r="W27" s="14">
        <f>IFERROR(VLOOKUP($E27,Equipos!$A:$H,6,0),"")</f>
        <v/>
      </c>
      <c r="X27" s="14">
        <f>IFERROR(VLOOKUP($E27,Equipos!$A:$H,7,0),"")</f>
        <v/>
      </c>
      <c r="Y27" s="14">
        <f>IF(OR($U27="",$W27=""),"",MIN(3.6,MAX(1.8,Equipos!$O$2*SQRT($U27*$W27*$V27*$X27))))</f>
        <v/>
      </c>
      <c r="Z27" s="14">
        <f>IF(OR($Y27="",$T27=""),"",MAX(0.2,($Y27+$T27)/2))</f>
        <v/>
      </c>
      <c r="AA27" s="14">
        <f>IF(OR($Y27="",$T27=""),"",MAX(0.2,($Y27-$T27)/2))</f>
        <v/>
      </c>
      <c r="AE27" s="15">
        <f>IF($D27=AE$1,$R27,IF($E27=AE$1,$S27,AE26))</f>
        <v/>
      </c>
      <c r="AF27" s="15">
        <f>IF($D27=AF$1,$R27,IF($E27=AF$1,$S27,AF26))</f>
        <v/>
      </c>
      <c r="AG27" s="15">
        <f>IF($D27=AG$1,$R27,IF($E27=AG$1,$S27,AG26))</f>
        <v/>
      </c>
      <c r="AH27" s="15">
        <f>IF($D27=AH$1,$R27,IF($E27=AH$1,$S27,AH26))</f>
        <v/>
      </c>
      <c r="AI27" s="15">
        <f>IF($D27=AI$1,$R27,IF($E27=AI$1,$S27,AI26))</f>
        <v/>
      </c>
      <c r="AJ27" s="15">
        <f>IF($D27=AJ$1,$R27,IF($E27=AJ$1,$S27,AJ26))</f>
        <v/>
      </c>
      <c r="AK27" s="15">
        <f>IF($D27=AK$1,$R27,IF($E27=AK$1,$S27,AK26))</f>
        <v/>
      </c>
      <c r="AL27" s="15">
        <f>IF($D27=AL$1,$R27,IF($E27=AL$1,$S27,AL26))</f>
        <v/>
      </c>
      <c r="AM27" s="15">
        <f>IF($D27=AM$1,$R27,IF($E27=AM$1,$S27,AM26))</f>
        <v/>
      </c>
      <c r="AN27" s="15">
        <f>IF($D27=AN$1,$R27,IF($E27=AN$1,$S27,AN26))</f>
        <v/>
      </c>
      <c r="AO27" s="15">
        <f>IF($D27=AO$1,$R27,IF($E27=AO$1,$S27,AO26))</f>
        <v/>
      </c>
      <c r="AP27" s="15">
        <f>IF($D27=AP$1,$R27,IF($E27=AP$1,$S27,AP26))</f>
        <v/>
      </c>
      <c r="AQ27" s="15">
        <f>IF($D27=AQ$1,$R27,IF($E27=AQ$1,$S27,AQ26))</f>
        <v/>
      </c>
      <c r="AR27" s="15">
        <f>IF($D27=AR$1,$R27,IF($E27=AR$1,$S27,AR26))</f>
        <v/>
      </c>
      <c r="AS27" s="15">
        <f>IF($D27=AS$1,$R27,IF($E27=AS$1,$S27,AS26))</f>
        <v/>
      </c>
      <c r="AT27" s="15">
        <f>IF($D27=AT$1,$R27,IF($E27=AT$1,$S27,AT26))</f>
        <v/>
      </c>
      <c r="AU27" s="15">
        <f>IF($D27=AU$1,$R27,IF($E27=AU$1,$S27,AU26))</f>
        <v/>
      </c>
      <c r="AV27" s="15">
        <f>IF($D27=AV$1,$R27,IF($E27=AV$1,$S27,AV26))</f>
        <v/>
      </c>
      <c r="AW27" s="15">
        <f>IF($D27=AW$1,$R27,IF($E27=AW$1,$S27,AW26))</f>
        <v/>
      </c>
      <c r="AX27" s="15">
        <f>IF($D27=AX$1,$R27,IF($E27=AX$1,$S27,AX26))</f>
        <v/>
      </c>
      <c r="AY27" s="15">
        <f>IF($D27=AY$1,$R27,IF($E27=AY$1,$S27,AY26))</f>
        <v/>
      </c>
      <c r="AZ27" s="15">
        <f>IF($D27=AZ$1,$R27,IF($E27=AZ$1,$S27,AZ26))</f>
        <v/>
      </c>
      <c r="BA27" s="15">
        <f>IF($D27=BA$1,$R27,IF($E27=BA$1,$S27,BA26))</f>
        <v/>
      </c>
      <c r="BB27" s="15">
        <f>IF($D27=BB$1,$R27,IF($E27=BB$1,$S27,BB26))</f>
        <v/>
      </c>
      <c r="BC27" s="15">
        <f>IF($D27=BC$1,$R27,IF($E27=BC$1,$S27,BC26))</f>
        <v/>
      </c>
      <c r="BD27" s="15">
        <f>IF($D27=BD$1,$R27,IF($E27=BD$1,$S27,BD26))</f>
        <v/>
      </c>
      <c r="BE27" s="15">
        <f>IF($D27=BE$1,$R27,IF($E27=BE$1,$S27,BE26))</f>
        <v/>
      </c>
      <c r="BF27" s="15">
        <f>IF($D27=BF$1,$R27,IF($E27=BF$1,$S27,BF26))</f>
        <v/>
      </c>
      <c r="BG27" s="15">
        <f>IF($D27=BG$1,$R27,IF($E27=BG$1,$S27,BG26))</f>
        <v/>
      </c>
      <c r="BH27" s="15">
        <f>IF($D27=BH$1,$R27,IF($E27=BH$1,$S27,BH26))</f>
        <v/>
      </c>
      <c r="BI27" s="15">
        <f>IF($D27=BI$1,$R27,IF($E27=BI$1,$S27,BI26))</f>
        <v/>
      </c>
      <c r="BJ27" s="15">
        <f>IF($D27=BJ$1,$R27,IF($E27=BJ$1,$S27,BJ26))</f>
        <v/>
      </c>
      <c r="BK27" s="15">
        <f>IF($D27=BK$1,$R27,IF($E27=BK$1,$S27,BK26))</f>
        <v/>
      </c>
      <c r="BL27" s="15">
        <f>IF($D27=BL$1,$R27,IF($E27=BL$1,$S27,BL26))</f>
        <v/>
      </c>
      <c r="BM27" s="15">
        <f>IF($D27=BM$1,$R27,IF($E27=BM$1,$S27,BM26))</f>
        <v/>
      </c>
      <c r="BN27" s="15">
        <f>IF($D27=BN$1,$R27,IF($E27=BN$1,$S27,BN26))</f>
        <v/>
      </c>
      <c r="BO27" s="15">
        <f>IF($D27=BO$1,$R27,IF($E27=BO$1,$S27,BO26))</f>
        <v/>
      </c>
      <c r="BP27" s="15">
        <f>IF($D27=BP$1,$R27,IF($E27=BP$1,$S27,BP26))</f>
        <v/>
      </c>
      <c r="BQ27" s="15">
        <f>IF($D27=BQ$1,$R27,IF($E27=BQ$1,$S27,BQ26))</f>
        <v/>
      </c>
      <c r="BR27" s="15">
        <f>IF($D27=BR$1,$R27,IF($E27=BR$1,$S27,BR26))</f>
        <v/>
      </c>
      <c r="BS27" s="15">
        <f>IF($D27=BS$1,$R27,IF($E27=BS$1,$S27,BS26))</f>
        <v/>
      </c>
      <c r="BT27" s="15">
        <f>IF($D27=BT$1,$R27,IF($E27=BT$1,$S27,BT26))</f>
        <v/>
      </c>
      <c r="BU27" s="15">
        <f>IF($D27=BU$1,$R27,IF($E27=BU$1,$S27,BU26))</f>
        <v/>
      </c>
      <c r="BV27" s="15">
        <f>IF($D27=BV$1,$R27,IF($E27=BV$1,$S27,BV26))</f>
        <v/>
      </c>
      <c r="BW27" s="15">
        <f>IF($D27=BW$1,$R27,IF($E27=BW$1,$S27,BW26))</f>
        <v/>
      </c>
      <c r="BX27" s="15">
        <f>IF($D27=BX$1,$R27,IF($E27=BX$1,$S27,BX26))</f>
        <v/>
      </c>
      <c r="BY27" s="15">
        <f>IF($D27=BY$1,$R27,IF($E27=BY$1,$S27,BY26))</f>
        <v/>
      </c>
      <c r="BZ27" s="15">
        <f>IF($D27=BZ$1,$R27,IF($E27=BZ$1,$S27,BZ26))</f>
        <v/>
      </c>
    </row>
    <row r="28" ht="15" customHeight="1">
      <c r="A28" s="7">
        <f>Fixture!A27</f>
        <v/>
      </c>
      <c r="B28" s="7">
        <f>Fixture!B27</f>
        <v/>
      </c>
      <c r="C28" s="7">
        <f>Fixture!C27</f>
        <v/>
      </c>
      <c r="D28" s="7">
        <f>Fixture!E27</f>
        <v/>
      </c>
      <c r="E28" s="7">
        <f>Fixture!F27</f>
        <v/>
      </c>
      <c r="F28" s="7">
        <f>Fixture!J27</f>
        <v/>
      </c>
      <c r="G28" s="7">
        <f>Fixture!K27</f>
        <v/>
      </c>
      <c r="H28" s="7">
        <f>IF(ISNUMBER(Resultados!B27),1,0)</f>
        <v/>
      </c>
      <c r="I28" s="7">
        <f>IF($H28=1,Resultados!B27,0)</f>
        <v/>
      </c>
      <c r="J28" s="7">
        <f>IF($H28=1,Resultados!C27,0)</f>
        <v/>
      </c>
      <c r="K28" s="12">
        <f>IFERROR(INDEX($AE27:$BZ27,MATCH($D28,$AE$1:$BZ$1,0)),"")</f>
        <v/>
      </c>
      <c r="L28" s="12">
        <f>IFERROR(INDEX($AE27:$BZ27,MATCH($E28,$AE$1:$BZ$1,0)),"")</f>
        <v/>
      </c>
      <c r="M28" s="12">
        <f>IF(OR($K28="",$L28=""),"",($K28+100*$F28)-($L28+100*$G28))</f>
        <v/>
      </c>
      <c r="N28" s="13">
        <f>IF($M28="","",1/(1+10^(-$M28/400)))</f>
        <v/>
      </c>
      <c r="O28" s="7">
        <f>IF(OR($H28=0,$N28=""),"",IF($I28&gt;$J28,1,IF($I28=$J28,0.5,0)))</f>
        <v/>
      </c>
      <c r="P28" s="14">
        <f>IF($O28="","",IF(ABS($I28-$J28)&lt;=1,1,IF(ABS($I28-$J28)=2,1.5,IF(ABS($I28-$J28)=3,1.75,1.75+(ABS($I28-$J28)-3)/8))))</f>
        <v/>
      </c>
      <c r="Q28" s="14">
        <f>IF($O28="",0,Equipos!$O$4*$P28*($O28-$N28))</f>
        <v/>
      </c>
      <c r="R28" s="12">
        <f>IF($K28="","",$K28+$Q28)</f>
        <v/>
      </c>
      <c r="S28" s="12">
        <f>IF($L28="","",$L28-$Q28)</f>
        <v/>
      </c>
      <c r="T28" s="14">
        <f>IF($M28="","",Equipos!$O$3*$M28)</f>
        <v/>
      </c>
      <c r="U28" s="14">
        <f>IFERROR(VLOOKUP($D28,Equipos!$A:$H,6,0),"")</f>
        <v/>
      </c>
      <c r="V28" s="14">
        <f>IFERROR(VLOOKUP($D28,Equipos!$A:$H,7,0),"")</f>
        <v/>
      </c>
      <c r="W28" s="14">
        <f>IFERROR(VLOOKUP($E28,Equipos!$A:$H,6,0),"")</f>
        <v/>
      </c>
      <c r="X28" s="14">
        <f>IFERROR(VLOOKUP($E28,Equipos!$A:$H,7,0),"")</f>
        <v/>
      </c>
      <c r="Y28" s="14">
        <f>IF(OR($U28="",$W28=""),"",MIN(3.6,MAX(1.8,Equipos!$O$2*SQRT($U28*$W28*$V28*$X28))))</f>
        <v/>
      </c>
      <c r="Z28" s="14">
        <f>IF(OR($Y28="",$T28=""),"",MAX(0.2,($Y28+$T28)/2))</f>
        <v/>
      </c>
      <c r="AA28" s="14">
        <f>IF(OR($Y28="",$T28=""),"",MAX(0.2,($Y28-$T28)/2))</f>
        <v/>
      </c>
      <c r="AE28" s="15">
        <f>IF($D28=AE$1,$R28,IF($E28=AE$1,$S28,AE27))</f>
        <v/>
      </c>
      <c r="AF28" s="15">
        <f>IF($D28=AF$1,$R28,IF($E28=AF$1,$S28,AF27))</f>
        <v/>
      </c>
      <c r="AG28" s="15">
        <f>IF($D28=AG$1,$R28,IF($E28=AG$1,$S28,AG27))</f>
        <v/>
      </c>
      <c r="AH28" s="15">
        <f>IF($D28=AH$1,$R28,IF($E28=AH$1,$S28,AH27))</f>
        <v/>
      </c>
      <c r="AI28" s="15">
        <f>IF($D28=AI$1,$R28,IF($E28=AI$1,$S28,AI27))</f>
        <v/>
      </c>
      <c r="AJ28" s="15">
        <f>IF($D28=AJ$1,$R28,IF($E28=AJ$1,$S28,AJ27))</f>
        <v/>
      </c>
      <c r="AK28" s="15">
        <f>IF($D28=AK$1,$R28,IF($E28=AK$1,$S28,AK27))</f>
        <v/>
      </c>
      <c r="AL28" s="15">
        <f>IF($D28=AL$1,$R28,IF($E28=AL$1,$S28,AL27))</f>
        <v/>
      </c>
      <c r="AM28" s="15">
        <f>IF($D28=AM$1,$R28,IF($E28=AM$1,$S28,AM27))</f>
        <v/>
      </c>
      <c r="AN28" s="15">
        <f>IF($D28=AN$1,$R28,IF($E28=AN$1,$S28,AN27))</f>
        <v/>
      </c>
      <c r="AO28" s="15">
        <f>IF($D28=AO$1,$R28,IF($E28=AO$1,$S28,AO27))</f>
        <v/>
      </c>
      <c r="AP28" s="15">
        <f>IF($D28=AP$1,$R28,IF($E28=AP$1,$S28,AP27))</f>
        <v/>
      </c>
      <c r="AQ28" s="15">
        <f>IF($D28=AQ$1,$R28,IF($E28=AQ$1,$S28,AQ27))</f>
        <v/>
      </c>
      <c r="AR28" s="15">
        <f>IF($D28=AR$1,$R28,IF($E28=AR$1,$S28,AR27))</f>
        <v/>
      </c>
      <c r="AS28" s="15">
        <f>IF($D28=AS$1,$R28,IF($E28=AS$1,$S28,AS27))</f>
        <v/>
      </c>
      <c r="AT28" s="15">
        <f>IF($D28=AT$1,$R28,IF($E28=AT$1,$S28,AT27))</f>
        <v/>
      </c>
      <c r="AU28" s="15">
        <f>IF($D28=AU$1,$R28,IF($E28=AU$1,$S28,AU27))</f>
        <v/>
      </c>
      <c r="AV28" s="15">
        <f>IF($D28=AV$1,$R28,IF($E28=AV$1,$S28,AV27))</f>
        <v/>
      </c>
      <c r="AW28" s="15">
        <f>IF($D28=AW$1,$R28,IF($E28=AW$1,$S28,AW27))</f>
        <v/>
      </c>
      <c r="AX28" s="15">
        <f>IF($D28=AX$1,$R28,IF($E28=AX$1,$S28,AX27))</f>
        <v/>
      </c>
      <c r="AY28" s="15">
        <f>IF($D28=AY$1,$R28,IF($E28=AY$1,$S28,AY27))</f>
        <v/>
      </c>
      <c r="AZ28" s="15">
        <f>IF($D28=AZ$1,$R28,IF($E28=AZ$1,$S28,AZ27))</f>
        <v/>
      </c>
      <c r="BA28" s="15">
        <f>IF($D28=BA$1,$R28,IF($E28=BA$1,$S28,BA27))</f>
        <v/>
      </c>
      <c r="BB28" s="15">
        <f>IF($D28=BB$1,$R28,IF($E28=BB$1,$S28,BB27))</f>
        <v/>
      </c>
      <c r="BC28" s="15">
        <f>IF($D28=BC$1,$R28,IF($E28=BC$1,$S28,BC27))</f>
        <v/>
      </c>
      <c r="BD28" s="15">
        <f>IF($D28=BD$1,$R28,IF($E28=BD$1,$S28,BD27))</f>
        <v/>
      </c>
      <c r="BE28" s="15">
        <f>IF($D28=BE$1,$R28,IF($E28=BE$1,$S28,BE27))</f>
        <v/>
      </c>
      <c r="BF28" s="15">
        <f>IF($D28=BF$1,$R28,IF($E28=BF$1,$S28,BF27))</f>
        <v/>
      </c>
      <c r="BG28" s="15">
        <f>IF($D28=BG$1,$R28,IF($E28=BG$1,$S28,BG27))</f>
        <v/>
      </c>
      <c r="BH28" s="15">
        <f>IF($D28=BH$1,$R28,IF($E28=BH$1,$S28,BH27))</f>
        <v/>
      </c>
      <c r="BI28" s="15">
        <f>IF($D28=BI$1,$R28,IF($E28=BI$1,$S28,BI27))</f>
        <v/>
      </c>
      <c r="BJ28" s="15">
        <f>IF($D28=BJ$1,$R28,IF($E28=BJ$1,$S28,BJ27))</f>
        <v/>
      </c>
      <c r="BK28" s="15">
        <f>IF($D28=BK$1,$R28,IF($E28=BK$1,$S28,BK27))</f>
        <v/>
      </c>
      <c r="BL28" s="15">
        <f>IF($D28=BL$1,$R28,IF($E28=BL$1,$S28,BL27))</f>
        <v/>
      </c>
      <c r="BM28" s="15">
        <f>IF($D28=BM$1,$R28,IF($E28=BM$1,$S28,BM27))</f>
        <v/>
      </c>
      <c r="BN28" s="15">
        <f>IF($D28=BN$1,$R28,IF($E28=BN$1,$S28,BN27))</f>
        <v/>
      </c>
      <c r="BO28" s="15">
        <f>IF($D28=BO$1,$R28,IF($E28=BO$1,$S28,BO27))</f>
        <v/>
      </c>
      <c r="BP28" s="15">
        <f>IF($D28=BP$1,$R28,IF($E28=BP$1,$S28,BP27))</f>
        <v/>
      </c>
      <c r="BQ28" s="15">
        <f>IF($D28=BQ$1,$R28,IF($E28=BQ$1,$S28,BQ27))</f>
        <v/>
      </c>
      <c r="BR28" s="15">
        <f>IF($D28=BR$1,$R28,IF($E28=BR$1,$S28,BR27))</f>
        <v/>
      </c>
      <c r="BS28" s="15">
        <f>IF($D28=BS$1,$R28,IF($E28=BS$1,$S28,BS27))</f>
        <v/>
      </c>
      <c r="BT28" s="15">
        <f>IF($D28=BT$1,$R28,IF($E28=BT$1,$S28,BT27))</f>
        <v/>
      </c>
      <c r="BU28" s="15">
        <f>IF($D28=BU$1,$R28,IF($E28=BU$1,$S28,BU27))</f>
        <v/>
      </c>
      <c r="BV28" s="15">
        <f>IF($D28=BV$1,$R28,IF($E28=BV$1,$S28,BV27))</f>
        <v/>
      </c>
      <c r="BW28" s="15">
        <f>IF($D28=BW$1,$R28,IF($E28=BW$1,$S28,BW27))</f>
        <v/>
      </c>
      <c r="BX28" s="15">
        <f>IF($D28=BX$1,$R28,IF($E28=BX$1,$S28,BX27))</f>
        <v/>
      </c>
      <c r="BY28" s="15">
        <f>IF($D28=BY$1,$R28,IF($E28=BY$1,$S28,BY27))</f>
        <v/>
      </c>
      <c r="BZ28" s="15">
        <f>IF($D28=BZ$1,$R28,IF($E28=BZ$1,$S28,BZ27))</f>
        <v/>
      </c>
    </row>
    <row r="29" ht="15" customHeight="1">
      <c r="A29" s="7">
        <f>Fixture!A28</f>
        <v/>
      </c>
      <c r="B29" s="7">
        <f>Fixture!B28</f>
        <v/>
      </c>
      <c r="C29" s="7">
        <f>Fixture!C28</f>
        <v/>
      </c>
      <c r="D29" s="7">
        <f>Fixture!E28</f>
        <v/>
      </c>
      <c r="E29" s="7">
        <f>Fixture!F28</f>
        <v/>
      </c>
      <c r="F29" s="7">
        <f>Fixture!J28</f>
        <v/>
      </c>
      <c r="G29" s="7">
        <f>Fixture!K28</f>
        <v/>
      </c>
      <c r="H29" s="7">
        <f>IF(ISNUMBER(Resultados!B28),1,0)</f>
        <v/>
      </c>
      <c r="I29" s="7">
        <f>IF($H29=1,Resultados!B28,0)</f>
        <v/>
      </c>
      <c r="J29" s="7">
        <f>IF($H29=1,Resultados!C28,0)</f>
        <v/>
      </c>
      <c r="K29" s="12">
        <f>IFERROR(INDEX($AE28:$BZ28,MATCH($D29,$AE$1:$BZ$1,0)),"")</f>
        <v/>
      </c>
      <c r="L29" s="12">
        <f>IFERROR(INDEX($AE28:$BZ28,MATCH($E29,$AE$1:$BZ$1,0)),"")</f>
        <v/>
      </c>
      <c r="M29" s="12">
        <f>IF(OR($K29="",$L29=""),"",($K29+100*$F29)-($L29+100*$G29))</f>
        <v/>
      </c>
      <c r="N29" s="13">
        <f>IF($M29="","",1/(1+10^(-$M29/400)))</f>
        <v/>
      </c>
      <c r="O29" s="7">
        <f>IF(OR($H29=0,$N29=""),"",IF($I29&gt;$J29,1,IF($I29=$J29,0.5,0)))</f>
        <v/>
      </c>
      <c r="P29" s="14">
        <f>IF($O29="","",IF(ABS($I29-$J29)&lt;=1,1,IF(ABS($I29-$J29)=2,1.5,IF(ABS($I29-$J29)=3,1.75,1.75+(ABS($I29-$J29)-3)/8))))</f>
        <v/>
      </c>
      <c r="Q29" s="14">
        <f>IF($O29="",0,Equipos!$O$4*$P29*($O29-$N29))</f>
        <v/>
      </c>
      <c r="R29" s="12">
        <f>IF($K29="","",$K29+$Q29)</f>
        <v/>
      </c>
      <c r="S29" s="12">
        <f>IF($L29="","",$L29-$Q29)</f>
        <v/>
      </c>
      <c r="T29" s="14">
        <f>IF($M29="","",Equipos!$O$3*$M29)</f>
        <v/>
      </c>
      <c r="U29" s="14">
        <f>IFERROR(VLOOKUP($D29,Equipos!$A:$H,6,0),"")</f>
        <v/>
      </c>
      <c r="V29" s="14">
        <f>IFERROR(VLOOKUP($D29,Equipos!$A:$H,7,0),"")</f>
        <v/>
      </c>
      <c r="W29" s="14">
        <f>IFERROR(VLOOKUP($E29,Equipos!$A:$H,6,0),"")</f>
        <v/>
      </c>
      <c r="X29" s="14">
        <f>IFERROR(VLOOKUP($E29,Equipos!$A:$H,7,0),"")</f>
        <v/>
      </c>
      <c r="Y29" s="14">
        <f>IF(OR($U29="",$W29=""),"",MIN(3.6,MAX(1.8,Equipos!$O$2*SQRT($U29*$W29*$V29*$X29))))</f>
        <v/>
      </c>
      <c r="Z29" s="14">
        <f>IF(OR($Y29="",$T29=""),"",MAX(0.2,($Y29+$T29)/2))</f>
        <v/>
      </c>
      <c r="AA29" s="14">
        <f>IF(OR($Y29="",$T29=""),"",MAX(0.2,($Y29-$T29)/2))</f>
        <v/>
      </c>
      <c r="AE29" s="15">
        <f>IF($D29=AE$1,$R29,IF($E29=AE$1,$S29,AE28))</f>
        <v/>
      </c>
      <c r="AF29" s="15">
        <f>IF($D29=AF$1,$R29,IF($E29=AF$1,$S29,AF28))</f>
        <v/>
      </c>
      <c r="AG29" s="15">
        <f>IF($D29=AG$1,$R29,IF($E29=AG$1,$S29,AG28))</f>
        <v/>
      </c>
      <c r="AH29" s="15">
        <f>IF($D29=AH$1,$R29,IF($E29=AH$1,$S29,AH28))</f>
        <v/>
      </c>
      <c r="AI29" s="15">
        <f>IF($D29=AI$1,$R29,IF($E29=AI$1,$S29,AI28))</f>
        <v/>
      </c>
      <c r="AJ29" s="15">
        <f>IF($D29=AJ$1,$R29,IF($E29=AJ$1,$S29,AJ28))</f>
        <v/>
      </c>
      <c r="AK29" s="15">
        <f>IF($D29=AK$1,$R29,IF($E29=AK$1,$S29,AK28))</f>
        <v/>
      </c>
      <c r="AL29" s="15">
        <f>IF($D29=AL$1,$R29,IF($E29=AL$1,$S29,AL28))</f>
        <v/>
      </c>
      <c r="AM29" s="15">
        <f>IF($D29=AM$1,$R29,IF($E29=AM$1,$S29,AM28))</f>
        <v/>
      </c>
      <c r="AN29" s="15">
        <f>IF($D29=AN$1,$R29,IF($E29=AN$1,$S29,AN28))</f>
        <v/>
      </c>
      <c r="AO29" s="15">
        <f>IF($D29=AO$1,$R29,IF($E29=AO$1,$S29,AO28))</f>
        <v/>
      </c>
      <c r="AP29" s="15">
        <f>IF($D29=AP$1,$R29,IF($E29=AP$1,$S29,AP28))</f>
        <v/>
      </c>
      <c r="AQ29" s="15">
        <f>IF($D29=AQ$1,$R29,IF($E29=AQ$1,$S29,AQ28))</f>
        <v/>
      </c>
      <c r="AR29" s="15">
        <f>IF($D29=AR$1,$R29,IF($E29=AR$1,$S29,AR28))</f>
        <v/>
      </c>
      <c r="AS29" s="15">
        <f>IF($D29=AS$1,$R29,IF($E29=AS$1,$S29,AS28))</f>
        <v/>
      </c>
      <c r="AT29" s="15">
        <f>IF($D29=AT$1,$R29,IF($E29=AT$1,$S29,AT28))</f>
        <v/>
      </c>
      <c r="AU29" s="15">
        <f>IF($D29=AU$1,$R29,IF($E29=AU$1,$S29,AU28))</f>
        <v/>
      </c>
      <c r="AV29" s="15">
        <f>IF($D29=AV$1,$R29,IF($E29=AV$1,$S29,AV28))</f>
        <v/>
      </c>
      <c r="AW29" s="15">
        <f>IF($D29=AW$1,$R29,IF($E29=AW$1,$S29,AW28))</f>
        <v/>
      </c>
      <c r="AX29" s="15">
        <f>IF($D29=AX$1,$R29,IF($E29=AX$1,$S29,AX28))</f>
        <v/>
      </c>
      <c r="AY29" s="15">
        <f>IF($D29=AY$1,$R29,IF($E29=AY$1,$S29,AY28))</f>
        <v/>
      </c>
      <c r="AZ29" s="15">
        <f>IF($D29=AZ$1,$R29,IF($E29=AZ$1,$S29,AZ28))</f>
        <v/>
      </c>
      <c r="BA29" s="15">
        <f>IF($D29=BA$1,$R29,IF($E29=BA$1,$S29,BA28))</f>
        <v/>
      </c>
      <c r="BB29" s="15">
        <f>IF($D29=BB$1,$R29,IF($E29=BB$1,$S29,BB28))</f>
        <v/>
      </c>
      <c r="BC29" s="15">
        <f>IF($D29=BC$1,$R29,IF($E29=BC$1,$S29,BC28))</f>
        <v/>
      </c>
      <c r="BD29" s="15">
        <f>IF($D29=BD$1,$R29,IF($E29=BD$1,$S29,BD28))</f>
        <v/>
      </c>
      <c r="BE29" s="15">
        <f>IF($D29=BE$1,$R29,IF($E29=BE$1,$S29,BE28))</f>
        <v/>
      </c>
      <c r="BF29" s="15">
        <f>IF($D29=BF$1,$R29,IF($E29=BF$1,$S29,BF28))</f>
        <v/>
      </c>
      <c r="BG29" s="15">
        <f>IF($D29=BG$1,$R29,IF($E29=BG$1,$S29,BG28))</f>
        <v/>
      </c>
      <c r="BH29" s="15">
        <f>IF($D29=BH$1,$R29,IF($E29=BH$1,$S29,BH28))</f>
        <v/>
      </c>
      <c r="BI29" s="15">
        <f>IF($D29=BI$1,$R29,IF($E29=BI$1,$S29,BI28))</f>
        <v/>
      </c>
      <c r="BJ29" s="15">
        <f>IF($D29=BJ$1,$R29,IF($E29=BJ$1,$S29,BJ28))</f>
        <v/>
      </c>
      <c r="BK29" s="15">
        <f>IF($D29=BK$1,$R29,IF($E29=BK$1,$S29,BK28))</f>
        <v/>
      </c>
      <c r="BL29" s="15">
        <f>IF($D29=BL$1,$R29,IF($E29=BL$1,$S29,BL28))</f>
        <v/>
      </c>
      <c r="BM29" s="15">
        <f>IF($D29=BM$1,$R29,IF($E29=BM$1,$S29,BM28))</f>
        <v/>
      </c>
      <c r="BN29" s="15">
        <f>IF($D29=BN$1,$R29,IF($E29=BN$1,$S29,BN28))</f>
        <v/>
      </c>
      <c r="BO29" s="15">
        <f>IF($D29=BO$1,$R29,IF($E29=BO$1,$S29,BO28))</f>
        <v/>
      </c>
      <c r="BP29" s="15">
        <f>IF($D29=BP$1,$R29,IF($E29=BP$1,$S29,BP28))</f>
        <v/>
      </c>
      <c r="BQ29" s="15">
        <f>IF($D29=BQ$1,$R29,IF($E29=BQ$1,$S29,BQ28))</f>
        <v/>
      </c>
      <c r="BR29" s="15">
        <f>IF($D29=BR$1,$R29,IF($E29=BR$1,$S29,BR28))</f>
        <v/>
      </c>
      <c r="BS29" s="15">
        <f>IF($D29=BS$1,$R29,IF($E29=BS$1,$S29,BS28))</f>
        <v/>
      </c>
      <c r="BT29" s="15">
        <f>IF($D29=BT$1,$R29,IF($E29=BT$1,$S29,BT28))</f>
        <v/>
      </c>
      <c r="BU29" s="15">
        <f>IF($D29=BU$1,$R29,IF($E29=BU$1,$S29,BU28))</f>
        <v/>
      </c>
      <c r="BV29" s="15">
        <f>IF($D29=BV$1,$R29,IF($E29=BV$1,$S29,BV28))</f>
        <v/>
      </c>
      <c r="BW29" s="15">
        <f>IF($D29=BW$1,$R29,IF($E29=BW$1,$S29,BW28))</f>
        <v/>
      </c>
      <c r="BX29" s="15">
        <f>IF($D29=BX$1,$R29,IF($E29=BX$1,$S29,BX28))</f>
        <v/>
      </c>
      <c r="BY29" s="15">
        <f>IF($D29=BY$1,$R29,IF($E29=BY$1,$S29,BY28))</f>
        <v/>
      </c>
      <c r="BZ29" s="15">
        <f>IF($D29=BZ$1,$R29,IF($E29=BZ$1,$S29,BZ28))</f>
        <v/>
      </c>
    </row>
    <row r="30" ht="15" customHeight="1">
      <c r="A30" s="7">
        <f>Fixture!A29</f>
        <v/>
      </c>
      <c r="B30" s="7">
        <f>Fixture!B29</f>
        <v/>
      </c>
      <c r="C30" s="7">
        <f>Fixture!C29</f>
        <v/>
      </c>
      <c r="D30" s="7">
        <f>Fixture!E29</f>
        <v/>
      </c>
      <c r="E30" s="7">
        <f>Fixture!F29</f>
        <v/>
      </c>
      <c r="F30" s="7">
        <f>Fixture!J29</f>
        <v/>
      </c>
      <c r="G30" s="7">
        <f>Fixture!K29</f>
        <v/>
      </c>
      <c r="H30" s="7">
        <f>IF(ISNUMBER(Resultados!B29),1,0)</f>
        <v/>
      </c>
      <c r="I30" s="7">
        <f>IF($H30=1,Resultados!B29,0)</f>
        <v/>
      </c>
      <c r="J30" s="7">
        <f>IF($H30=1,Resultados!C29,0)</f>
        <v/>
      </c>
      <c r="K30" s="12">
        <f>IFERROR(INDEX($AE29:$BZ29,MATCH($D30,$AE$1:$BZ$1,0)),"")</f>
        <v/>
      </c>
      <c r="L30" s="12">
        <f>IFERROR(INDEX($AE29:$BZ29,MATCH($E30,$AE$1:$BZ$1,0)),"")</f>
        <v/>
      </c>
      <c r="M30" s="12">
        <f>IF(OR($K30="",$L30=""),"",($K30+100*$F30)-($L30+100*$G30))</f>
        <v/>
      </c>
      <c r="N30" s="13">
        <f>IF($M30="","",1/(1+10^(-$M30/400)))</f>
        <v/>
      </c>
      <c r="O30" s="7">
        <f>IF(OR($H30=0,$N30=""),"",IF($I30&gt;$J30,1,IF($I30=$J30,0.5,0)))</f>
        <v/>
      </c>
      <c r="P30" s="14">
        <f>IF($O30="","",IF(ABS($I30-$J30)&lt;=1,1,IF(ABS($I30-$J30)=2,1.5,IF(ABS($I30-$J30)=3,1.75,1.75+(ABS($I30-$J30)-3)/8))))</f>
        <v/>
      </c>
      <c r="Q30" s="14">
        <f>IF($O30="",0,Equipos!$O$4*$P30*($O30-$N30))</f>
        <v/>
      </c>
      <c r="R30" s="12">
        <f>IF($K30="","",$K30+$Q30)</f>
        <v/>
      </c>
      <c r="S30" s="12">
        <f>IF($L30="","",$L30-$Q30)</f>
        <v/>
      </c>
      <c r="T30" s="14">
        <f>IF($M30="","",Equipos!$O$3*$M30)</f>
        <v/>
      </c>
      <c r="U30" s="14">
        <f>IFERROR(VLOOKUP($D30,Equipos!$A:$H,6,0),"")</f>
        <v/>
      </c>
      <c r="V30" s="14">
        <f>IFERROR(VLOOKUP($D30,Equipos!$A:$H,7,0),"")</f>
        <v/>
      </c>
      <c r="W30" s="14">
        <f>IFERROR(VLOOKUP($E30,Equipos!$A:$H,6,0),"")</f>
        <v/>
      </c>
      <c r="X30" s="14">
        <f>IFERROR(VLOOKUP($E30,Equipos!$A:$H,7,0),"")</f>
        <v/>
      </c>
      <c r="Y30" s="14">
        <f>IF(OR($U30="",$W30=""),"",MIN(3.6,MAX(1.8,Equipos!$O$2*SQRT($U30*$W30*$V30*$X30))))</f>
        <v/>
      </c>
      <c r="Z30" s="14">
        <f>IF(OR($Y30="",$T30=""),"",MAX(0.2,($Y30+$T30)/2))</f>
        <v/>
      </c>
      <c r="AA30" s="14">
        <f>IF(OR($Y30="",$T30=""),"",MAX(0.2,($Y30-$T30)/2))</f>
        <v/>
      </c>
      <c r="AE30" s="15">
        <f>IF($D30=AE$1,$R30,IF($E30=AE$1,$S30,AE29))</f>
        <v/>
      </c>
      <c r="AF30" s="15">
        <f>IF($D30=AF$1,$R30,IF($E30=AF$1,$S30,AF29))</f>
        <v/>
      </c>
      <c r="AG30" s="15">
        <f>IF($D30=AG$1,$R30,IF($E30=AG$1,$S30,AG29))</f>
        <v/>
      </c>
      <c r="AH30" s="15">
        <f>IF($D30=AH$1,$R30,IF($E30=AH$1,$S30,AH29))</f>
        <v/>
      </c>
      <c r="AI30" s="15">
        <f>IF($D30=AI$1,$R30,IF($E30=AI$1,$S30,AI29))</f>
        <v/>
      </c>
      <c r="AJ30" s="15">
        <f>IF($D30=AJ$1,$R30,IF($E30=AJ$1,$S30,AJ29))</f>
        <v/>
      </c>
      <c r="AK30" s="15">
        <f>IF($D30=AK$1,$R30,IF($E30=AK$1,$S30,AK29))</f>
        <v/>
      </c>
      <c r="AL30" s="15">
        <f>IF($D30=AL$1,$R30,IF($E30=AL$1,$S30,AL29))</f>
        <v/>
      </c>
      <c r="AM30" s="15">
        <f>IF($D30=AM$1,$R30,IF($E30=AM$1,$S30,AM29))</f>
        <v/>
      </c>
      <c r="AN30" s="15">
        <f>IF($D30=AN$1,$R30,IF($E30=AN$1,$S30,AN29))</f>
        <v/>
      </c>
      <c r="AO30" s="15">
        <f>IF($D30=AO$1,$R30,IF($E30=AO$1,$S30,AO29))</f>
        <v/>
      </c>
      <c r="AP30" s="15">
        <f>IF($D30=AP$1,$R30,IF($E30=AP$1,$S30,AP29))</f>
        <v/>
      </c>
      <c r="AQ30" s="15">
        <f>IF($D30=AQ$1,$R30,IF($E30=AQ$1,$S30,AQ29))</f>
        <v/>
      </c>
      <c r="AR30" s="15">
        <f>IF($D30=AR$1,$R30,IF($E30=AR$1,$S30,AR29))</f>
        <v/>
      </c>
      <c r="AS30" s="15">
        <f>IF($D30=AS$1,$R30,IF($E30=AS$1,$S30,AS29))</f>
        <v/>
      </c>
      <c r="AT30" s="15">
        <f>IF($D30=AT$1,$R30,IF($E30=AT$1,$S30,AT29))</f>
        <v/>
      </c>
      <c r="AU30" s="15">
        <f>IF($D30=AU$1,$R30,IF($E30=AU$1,$S30,AU29))</f>
        <v/>
      </c>
      <c r="AV30" s="15">
        <f>IF($D30=AV$1,$R30,IF($E30=AV$1,$S30,AV29))</f>
        <v/>
      </c>
      <c r="AW30" s="15">
        <f>IF($D30=AW$1,$R30,IF($E30=AW$1,$S30,AW29))</f>
        <v/>
      </c>
      <c r="AX30" s="15">
        <f>IF($D30=AX$1,$R30,IF($E30=AX$1,$S30,AX29))</f>
        <v/>
      </c>
      <c r="AY30" s="15">
        <f>IF($D30=AY$1,$R30,IF($E30=AY$1,$S30,AY29))</f>
        <v/>
      </c>
      <c r="AZ30" s="15">
        <f>IF($D30=AZ$1,$R30,IF($E30=AZ$1,$S30,AZ29))</f>
        <v/>
      </c>
      <c r="BA30" s="15">
        <f>IF($D30=BA$1,$R30,IF($E30=BA$1,$S30,BA29))</f>
        <v/>
      </c>
      <c r="BB30" s="15">
        <f>IF($D30=BB$1,$R30,IF($E30=BB$1,$S30,BB29))</f>
        <v/>
      </c>
      <c r="BC30" s="15">
        <f>IF($D30=BC$1,$R30,IF($E30=BC$1,$S30,BC29))</f>
        <v/>
      </c>
      <c r="BD30" s="15">
        <f>IF($D30=BD$1,$R30,IF($E30=BD$1,$S30,BD29))</f>
        <v/>
      </c>
      <c r="BE30" s="15">
        <f>IF($D30=BE$1,$R30,IF($E30=BE$1,$S30,BE29))</f>
        <v/>
      </c>
      <c r="BF30" s="15">
        <f>IF($D30=BF$1,$R30,IF($E30=BF$1,$S30,BF29))</f>
        <v/>
      </c>
      <c r="BG30" s="15">
        <f>IF($D30=BG$1,$R30,IF($E30=BG$1,$S30,BG29))</f>
        <v/>
      </c>
      <c r="BH30" s="15">
        <f>IF($D30=BH$1,$R30,IF($E30=BH$1,$S30,BH29))</f>
        <v/>
      </c>
      <c r="BI30" s="15">
        <f>IF($D30=BI$1,$R30,IF($E30=BI$1,$S30,BI29))</f>
        <v/>
      </c>
      <c r="BJ30" s="15">
        <f>IF($D30=BJ$1,$R30,IF($E30=BJ$1,$S30,BJ29))</f>
        <v/>
      </c>
      <c r="BK30" s="15">
        <f>IF($D30=BK$1,$R30,IF($E30=BK$1,$S30,BK29))</f>
        <v/>
      </c>
      <c r="BL30" s="15">
        <f>IF($D30=BL$1,$R30,IF($E30=BL$1,$S30,BL29))</f>
        <v/>
      </c>
      <c r="BM30" s="15">
        <f>IF($D30=BM$1,$R30,IF($E30=BM$1,$S30,BM29))</f>
        <v/>
      </c>
      <c r="BN30" s="15">
        <f>IF($D30=BN$1,$R30,IF($E30=BN$1,$S30,BN29))</f>
        <v/>
      </c>
      <c r="BO30" s="15">
        <f>IF($D30=BO$1,$R30,IF($E30=BO$1,$S30,BO29))</f>
        <v/>
      </c>
      <c r="BP30" s="15">
        <f>IF($D30=BP$1,$R30,IF($E30=BP$1,$S30,BP29))</f>
        <v/>
      </c>
      <c r="BQ30" s="15">
        <f>IF($D30=BQ$1,$R30,IF($E30=BQ$1,$S30,BQ29))</f>
        <v/>
      </c>
      <c r="BR30" s="15">
        <f>IF($D30=BR$1,$R30,IF($E30=BR$1,$S30,BR29))</f>
        <v/>
      </c>
      <c r="BS30" s="15">
        <f>IF($D30=BS$1,$R30,IF($E30=BS$1,$S30,BS29))</f>
        <v/>
      </c>
      <c r="BT30" s="15">
        <f>IF($D30=BT$1,$R30,IF($E30=BT$1,$S30,BT29))</f>
        <v/>
      </c>
      <c r="BU30" s="15">
        <f>IF($D30=BU$1,$R30,IF($E30=BU$1,$S30,BU29))</f>
        <v/>
      </c>
      <c r="BV30" s="15">
        <f>IF($D30=BV$1,$R30,IF($E30=BV$1,$S30,BV29))</f>
        <v/>
      </c>
      <c r="BW30" s="15">
        <f>IF($D30=BW$1,$R30,IF($E30=BW$1,$S30,BW29))</f>
        <v/>
      </c>
      <c r="BX30" s="15">
        <f>IF($D30=BX$1,$R30,IF($E30=BX$1,$S30,BX29))</f>
        <v/>
      </c>
      <c r="BY30" s="15">
        <f>IF($D30=BY$1,$R30,IF($E30=BY$1,$S30,BY29))</f>
        <v/>
      </c>
      <c r="BZ30" s="15">
        <f>IF($D30=BZ$1,$R30,IF($E30=BZ$1,$S30,BZ29))</f>
        <v/>
      </c>
    </row>
    <row r="31" ht="15" customHeight="1">
      <c r="A31" s="7">
        <f>Fixture!A30</f>
        <v/>
      </c>
      <c r="B31" s="7">
        <f>Fixture!B30</f>
        <v/>
      </c>
      <c r="C31" s="7">
        <f>Fixture!C30</f>
        <v/>
      </c>
      <c r="D31" s="7">
        <f>Fixture!E30</f>
        <v/>
      </c>
      <c r="E31" s="7">
        <f>Fixture!F30</f>
        <v/>
      </c>
      <c r="F31" s="7">
        <f>Fixture!J30</f>
        <v/>
      </c>
      <c r="G31" s="7">
        <f>Fixture!K30</f>
        <v/>
      </c>
      <c r="H31" s="7">
        <f>IF(ISNUMBER(Resultados!B30),1,0)</f>
        <v/>
      </c>
      <c r="I31" s="7">
        <f>IF($H31=1,Resultados!B30,0)</f>
        <v/>
      </c>
      <c r="J31" s="7">
        <f>IF($H31=1,Resultados!C30,0)</f>
        <v/>
      </c>
      <c r="K31" s="12">
        <f>IFERROR(INDEX($AE30:$BZ30,MATCH($D31,$AE$1:$BZ$1,0)),"")</f>
        <v/>
      </c>
      <c r="L31" s="12">
        <f>IFERROR(INDEX($AE30:$BZ30,MATCH($E31,$AE$1:$BZ$1,0)),"")</f>
        <v/>
      </c>
      <c r="M31" s="12">
        <f>IF(OR($K31="",$L31=""),"",($K31+100*$F31)-($L31+100*$G31))</f>
        <v/>
      </c>
      <c r="N31" s="13">
        <f>IF($M31="","",1/(1+10^(-$M31/400)))</f>
        <v/>
      </c>
      <c r="O31" s="7">
        <f>IF(OR($H31=0,$N31=""),"",IF($I31&gt;$J31,1,IF($I31=$J31,0.5,0)))</f>
        <v/>
      </c>
      <c r="P31" s="14">
        <f>IF($O31="","",IF(ABS($I31-$J31)&lt;=1,1,IF(ABS($I31-$J31)=2,1.5,IF(ABS($I31-$J31)=3,1.75,1.75+(ABS($I31-$J31)-3)/8))))</f>
        <v/>
      </c>
      <c r="Q31" s="14">
        <f>IF($O31="",0,Equipos!$O$4*$P31*($O31-$N31))</f>
        <v/>
      </c>
      <c r="R31" s="12">
        <f>IF($K31="","",$K31+$Q31)</f>
        <v/>
      </c>
      <c r="S31" s="12">
        <f>IF($L31="","",$L31-$Q31)</f>
        <v/>
      </c>
      <c r="T31" s="14">
        <f>IF($M31="","",Equipos!$O$3*$M31)</f>
        <v/>
      </c>
      <c r="U31" s="14">
        <f>IFERROR(VLOOKUP($D31,Equipos!$A:$H,6,0),"")</f>
        <v/>
      </c>
      <c r="V31" s="14">
        <f>IFERROR(VLOOKUP($D31,Equipos!$A:$H,7,0),"")</f>
        <v/>
      </c>
      <c r="W31" s="14">
        <f>IFERROR(VLOOKUP($E31,Equipos!$A:$H,6,0),"")</f>
        <v/>
      </c>
      <c r="X31" s="14">
        <f>IFERROR(VLOOKUP($E31,Equipos!$A:$H,7,0),"")</f>
        <v/>
      </c>
      <c r="Y31" s="14">
        <f>IF(OR($U31="",$W31=""),"",MIN(3.6,MAX(1.8,Equipos!$O$2*SQRT($U31*$W31*$V31*$X31))))</f>
        <v/>
      </c>
      <c r="Z31" s="14">
        <f>IF(OR($Y31="",$T31=""),"",MAX(0.2,($Y31+$T31)/2))</f>
        <v/>
      </c>
      <c r="AA31" s="14">
        <f>IF(OR($Y31="",$T31=""),"",MAX(0.2,($Y31-$T31)/2))</f>
        <v/>
      </c>
      <c r="AE31" s="15">
        <f>IF($D31=AE$1,$R31,IF($E31=AE$1,$S31,AE30))</f>
        <v/>
      </c>
      <c r="AF31" s="15">
        <f>IF($D31=AF$1,$R31,IF($E31=AF$1,$S31,AF30))</f>
        <v/>
      </c>
      <c r="AG31" s="15">
        <f>IF($D31=AG$1,$R31,IF($E31=AG$1,$S31,AG30))</f>
        <v/>
      </c>
      <c r="AH31" s="15">
        <f>IF($D31=AH$1,$R31,IF($E31=AH$1,$S31,AH30))</f>
        <v/>
      </c>
      <c r="AI31" s="15">
        <f>IF($D31=AI$1,$R31,IF($E31=AI$1,$S31,AI30))</f>
        <v/>
      </c>
      <c r="AJ31" s="15">
        <f>IF($D31=AJ$1,$R31,IF($E31=AJ$1,$S31,AJ30))</f>
        <v/>
      </c>
      <c r="AK31" s="15">
        <f>IF($D31=AK$1,$R31,IF($E31=AK$1,$S31,AK30))</f>
        <v/>
      </c>
      <c r="AL31" s="15">
        <f>IF($D31=AL$1,$R31,IF($E31=AL$1,$S31,AL30))</f>
        <v/>
      </c>
      <c r="AM31" s="15">
        <f>IF($D31=AM$1,$R31,IF($E31=AM$1,$S31,AM30))</f>
        <v/>
      </c>
      <c r="AN31" s="15">
        <f>IF($D31=AN$1,$R31,IF($E31=AN$1,$S31,AN30))</f>
        <v/>
      </c>
      <c r="AO31" s="15">
        <f>IF($D31=AO$1,$R31,IF($E31=AO$1,$S31,AO30))</f>
        <v/>
      </c>
      <c r="AP31" s="15">
        <f>IF($D31=AP$1,$R31,IF($E31=AP$1,$S31,AP30))</f>
        <v/>
      </c>
      <c r="AQ31" s="15">
        <f>IF($D31=AQ$1,$R31,IF($E31=AQ$1,$S31,AQ30))</f>
        <v/>
      </c>
      <c r="AR31" s="15">
        <f>IF($D31=AR$1,$R31,IF($E31=AR$1,$S31,AR30))</f>
        <v/>
      </c>
      <c r="AS31" s="15">
        <f>IF($D31=AS$1,$R31,IF($E31=AS$1,$S31,AS30))</f>
        <v/>
      </c>
      <c r="AT31" s="15">
        <f>IF($D31=AT$1,$R31,IF($E31=AT$1,$S31,AT30))</f>
        <v/>
      </c>
      <c r="AU31" s="15">
        <f>IF($D31=AU$1,$R31,IF($E31=AU$1,$S31,AU30))</f>
        <v/>
      </c>
      <c r="AV31" s="15">
        <f>IF($D31=AV$1,$R31,IF($E31=AV$1,$S31,AV30))</f>
        <v/>
      </c>
      <c r="AW31" s="15">
        <f>IF($D31=AW$1,$R31,IF($E31=AW$1,$S31,AW30))</f>
        <v/>
      </c>
      <c r="AX31" s="15">
        <f>IF($D31=AX$1,$R31,IF($E31=AX$1,$S31,AX30))</f>
        <v/>
      </c>
      <c r="AY31" s="15">
        <f>IF($D31=AY$1,$R31,IF($E31=AY$1,$S31,AY30))</f>
        <v/>
      </c>
      <c r="AZ31" s="15">
        <f>IF($D31=AZ$1,$R31,IF($E31=AZ$1,$S31,AZ30))</f>
        <v/>
      </c>
      <c r="BA31" s="15">
        <f>IF($D31=BA$1,$R31,IF($E31=BA$1,$S31,BA30))</f>
        <v/>
      </c>
      <c r="BB31" s="15">
        <f>IF($D31=BB$1,$R31,IF($E31=BB$1,$S31,BB30))</f>
        <v/>
      </c>
      <c r="BC31" s="15">
        <f>IF($D31=BC$1,$R31,IF($E31=BC$1,$S31,BC30))</f>
        <v/>
      </c>
      <c r="BD31" s="15">
        <f>IF($D31=BD$1,$R31,IF($E31=BD$1,$S31,BD30))</f>
        <v/>
      </c>
      <c r="BE31" s="15">
        <f>IF($D31=BE$1,$R31,IF($E31=BE$1,$S31,BE30))</f>
        <v/>
      </c>
      <c r="BF31" s="15">
        <f>IF($D31=BF$1,$R31,IF($E31=BF$1,$S31,BF30))</f>
        <v/>
      </c>
      <c r="BG31" s="15">
        <f>IF($D31=BG$1,$R31,IF($E31=BG$1,$S31,BG30))</f>
        <v/>
      </c>
      <c r="BH31" s="15">
        <f>IF($D31=BH$1,$R31,IF($E31=BH$1,$S31,BH30))</f>
        <v/>
      </c>
      <c r="BI31" s="15">
        <f>IF($D31=BI$1,$R31,IF($E31=BI$1,$S31,BI30))</f>
        <v/>
      </c>
      <c r="BJ31" s="15">
        <f>IF($D31=BJ$1,$R31,IF($E31=BJ$1,$S31,BJ30))</f>
        <v/>
      </c>
      <c r="BK31" s="15">
        <f>IF($D31=BK$1,$R31,IF($E31=BK$1,$S31,BK30))</f>
        <v/>
      </c>
      <c r="BL31" s="15">
        <f>IF($D31=BL$1,$R31,IF($E31=BL$1,$S31,BL30))</f>
        <v/>
      </c>
      <c r="BM31" s="15">
        <f>IF($D31=BM$1,$R31,IF($E31=BM$1,$S31,BM30))</f>
        <v/>
      </c>
      <c r="BN31" s="15">
        <f>IF($D31=BN$1,$R31,IF($E31=BN$1,$S31,BN30))</f>
        <v/>
      </c>
      <c r="BO31" s="15">
        <f>IF($D31=BO$1,$R31,IF($E31=BO$1,$S31,BO30))</f>
        <v/>
      </c>
      <c r="BP31" s="15">
        <f>IF($D31=BP$1,$R31,IF($E31=BP$1,$S31,BP30))</f>
        <v/>
      </c>
      <c r="BQ31" s="15">
        <f>IF($D31=BQ$1,$R31,IF($E31=BQ$1,$S31,BQ30))</f>
        <v/>
      </c>
      <c r="BR31" s="15">
        <f>IF($D31=BR$1,$R31,IF($E31=BR$1,$S31,BR30))</f>
        <v/>
      </c>
      <c r="BS31" s="15">
        <f>IF($D31=BS$1,$R31,IF($E31=BS$1,$S31,BS30))</f>
        <v/>
      </c>
      <c r="BT31" s="15">
        <f>IF($D31=BT$1,$R31,IF($E31=BT$1,$S31,BT30))</f>
        <v/>
      </c>
      <c r="BU31" s="15">
        <f>IF($D31=BU$1,$R31,IF($E31=BU$1,$S31,BU30))</f>
        <v/>
      </c>
      <c r="BV31" s="15">
        <f>IF($D31=BV$1,$R31,IF($E31=BV$1,$S31,BV30))</f>
        <v/>
      </c>
      <c r="BW31" s="15">
        <f>IF($D31=BW$1,$R31,IF($E31=BW$1,$S31,BW30))</f>
        <v/>
      </c>
      <c r="BX31" s="15">
        <f>IF($D31=BX$1,$R31,IF($E31=BX$1,$S31,BX30))</f>
        <v/>
      </c>
      <c r="BY31" s="15">
        <f>IF($D31=BY$1,$R31,IF($E31=BY$1,$S31,BY30))</f>
        <v/>
      </c>
      <c r="BZ31" s="15">
        <f>IF($D31=BZ$1,$R31,IF($E31=BZ$1,$S31,BZ30))</f>
        <v/>
      </c>
    </row>
    <row r="32" ht="15" customHeight="1">
      <c r="A32" s="7">
        <f>Fixture!A31</f>
        <v/>
      </c>
      <c r="B32" s="7">
        <f>Fixture!B31</f>
        <v/>
      </c>
      <c r="C32" s="7">
        <f>Fixture!C31</f>
        <v/>
      </c>
      <c r="D32" s="7">
        <f>Fixture!E31</f>
        <v/>
      </c>
      <c r="E32" s="7">
        <f>Fixture!F31</f>
        <v/>
      </c>
      <c r="F32" s="7">
        <f>Fixture!J31</f>
        <v/>
      </c>
      <c r="G32" s="7">
        <f>Fixture!K31</f>
        <v/>
      </c>
      <c r="H32" s="7">
        <f>IF(ISNUMBER(Resultados!B31),1,0)</f>
        <v/>
      </c>
      <c r="I32" s="7">
        <f>IF($H32=1,Resultados!B31,0)</f>
        <v/>
      </c>
      <c r="J32" s="7">
        <f>IF($H32=1,Resultados!C31,0)</f>
        <v/>
      </c>
      <c r="K32" s="12">
        <f>IFERROR(INDEX($AE31:$BZ31,MATCH($D32,$AE$1:$BZ$1,0)),"")</f>
        <v/>
      </c>
      <c r="L32" s="12">
        <f>IFERROR(INDEX($AE31:$BZ31,MATCH($E32,$AE$1:$BZ$1,0)),"")</f>
        <v/>
      </c>
      <c r="M32" s="12">
        <f>IF(OR($K32="",$L32=""),"",($K32+100*$F32)-($L32+100*$G32))</f>
        <v/>
      </c>
      <c r="N32" s="13">
        <f>IF($M32="","",1/(1+10^(-$M32/400)))</f>
        <v/>
      </c>
      <c r="O32" s="7">
        <f>IF(OR($H32=0,$N32=""),"",IF($I32&gt;$J32,1,IF($I32=$J32,0.5,0)))</f>
        <v/>
      </c>
      <c r="P32" s="14">
        <f>IF($O32="","",IF(ABS($I32-$J32)&lt;=1,1,IF(ABS($I32-$J32)=2,1.5,IF(ABS($I32-$J32)=3,1.75,1.75+(ABS($I32-$J32)-3)/8))))</f>
        <v/>
      </c>
      <c r="Q32" s="14">
        <f>IF($O32="",0,Equipos!$O$4*$P32*($O32-$N32))</f>
        <v/>
      </c>
      <c r="R32" s="12">
        <f>IF($K32="","",$K32+$Q32)</f>
        <v/>
      </c>
      <c r="S32" s="12">
        <f>IF($L32="","",$L32-$Q32)</f>
        <v/>
      </c>
      <c r="T32" s="14">
        <f>IF($M32="","",Equipos!$O$3*$M32)</f>
        <v/>
      </c>
      <c r="U32" s="14">
        <f>IFERROR(VLOOKUP($D32,Equipos!$A:$H,6,0),"")</f>
        <v/>
      </c>
      <c r="V32" s="14">
        <f>IFERROR(VLOOKUP($D32,Equipos!$A:$H,7,0),"")</f>
        <v/>
      </c>
      <c r="W32" s="14">
        <f>IFERROR(VLOOKUP($E32,Equipos!$A:$H,6,0),"")</f>
        <v/>
      </c>
      <c r="X32" s="14">
        <f>IFERROR(VLOOKUP($E32,Equipos!$A:$H,7,0),"")</f>
        <v/>
      </c>
      <c r="Y32" s="14">
        <f>IF(OR($U32="",$W32=""),"",MIN(3.6,MAX(1.8,Equipos!$O$2*SQRT($U32*$W32*$V32*$X32))))</f>
        <v/>
      </c>
      <c r="Z32" s="14">
        <f>IF(OR($Y32="",$T32=""),"",MAX(0.2,($Y32+$T32)/2))</f>
        <v/>
      </c>
      <c r="AA32" s="14">
        <f>IF(OR($Y32="",$T32=""),"",MAX(0.2,($Y32-$T32)/2))</f>
        <v/>
      </c>
      <c r="AE32" s="15">
        <f>IF($D32=AE$1,$R32,IF($E32=AE$1,$S32,AE31))</f>
        <v/>
      </c>
      <c r="AF32" s="15">
        <f>IF($D32=AF$1,$R32,IF($E32=AF$1,$S32,AF31))</f>
        <v/>
      </c>
      <c r="AG32" s="15">
        <f>IF($D32=AG$1,$R32,IF($E32=AG$1,$S32,AG31))</f>
        <v/>
      </c>
      <c r="AH32" s="15">
        <f>IF($D32=AH$1,$R32,IF($E32=AH$1,$S32,AH31))</f>
        <v/>
      </c>
      <c r="AI32" s="15">
        <f>IF($D32=AI$1,$R32,IF($E32=AI$1,$S32,AI31))</f>
        <v/>
      </c>
      <c r="AJ32" s="15">
        <f>IF($D32=AJ$1,$R32,IF($E32=AJ$1,$S32,AJ31))</f>
        <v/>
      </c>
      <c r="AK32" s="15">
        <f>IF($D32=AK$1,$R32,IF($E32=AK$1,$S32,AK31))</f>
        <v/>
      </c>
      <c r="AL32" s="15">
        <f>IF($D32=AL$1,$R32,IF($E32=AL$1,$S32,AL31))</f>
        <v/>
      </c>
      <c r="AM32" s="15">
        <f>IF($D32=AM$1,$R32,IF($E32=AM$1,$S32,AM31))</f>
        <v/>
      </c>
      <c r="AN32" s="15">
        <f>IF($D32=AN$1,$R32,IF($E32=AN$1,$S32,AN31))</f>
        <v/>
      </c>
      <c r="AO32" s="15">
        <f>IF($D32=AO$1,$R32,IF($E32=AO$1,$S32,AO31))</f>
        <v/>
      </c>
      <c r="AP32" s="15">
        <f>IF($D32=AP$1,$R32,IF($E32=AP$1,$S32,AP31))</f>
        <v/>
      </c>
      <c r="AQ32" s="15">
        <f>IF($D32=AQ$1,$R32,IF($E32=AQ$1,$S32,AQ31))</f>
        <v/>
      </c>
      <c r="AR32" s="15">
        <f>IF($D32=AR$1,$R32,IF($E32=AR$1,$S32,AR31))</f>
        <v/>
      </c>
      <c r="AS32" s="15">
        <f>IF($D32=AS$1,$R32,IF($E32=AS$1,$S32,AS31))</f>
        <v/>
      </c>
      <c r="AT32" s="15">
        <f>IF($D32=AT$1,$R32,IF($E32=AT$1,$S32,AT31))</f>
        <v/>
      </c>
      <c r="AU32" s="15">
        <f>IF($D32=AU$1,$R32,IF($E32=AU$1,$S32,AU31))</f>
        <v/>
      </c>
      <c r="AV32" s="15">
        <f>IF($D32=AV$1,$R32,IF($E32=AV$1,$S32,AV31))</f>
        <v/>
      </c>
      <c r="AW32" s="15">
        <f>IF($D32=AW$1,$R32,IF($E32=AW$1,$S32,AW31))</f>
        <v/>
      </c>
      <c r="AX32" s="15">
        <f>IF($D32=AX$1,$R32,IF($E32=AX$1,$S32,AX31))</f>
        <v/>
      </c>
      <c r="AY32" s="15">
        <f>IF($D32=AY$1,$R32,IF($E32=AY$1,$S32,AY31))</f>
        <v/>
      </c>
      <c r="AZ32" s="15">
        <f>IF($D32=AZ$1,$R32,IF($E32=AZ$1,$S32,AZ31))</f>
        <v/>
      </c>
      <c r="BA32" s="15">
        <f>IF($D32=BA$1,$R32,IF($E32=BA$1,$S32,BA31))</f>
        <v/>
      </c>
      <c r="BB32" s="15">
        <f>IF($D32=BB$1,$R32,IF($E32=BB$1,$S32,BB31))</f>
        <v/>
      </c>
      <c r="BC32" s="15">
        <f>IF($D32=BC$1,$R32,IF($E32=BC$1,$S32,BC31))</f>
        <v/>
      </c>
      <c r="BD32" s="15">
        <f>IF($D32=BD$1,$R32,IF($E32=BD$1,$S32,BD31))</f>
        <v/>
      </c>
      <c r="BE32" s="15">
        <f>IF($D32=BE$1,$R32,IF($E32=BE$1,$S32,BE31))</f>
        <v/>
      </c>
      <c r="BF32" s="15">
        <f>IF($D32=BF$1,$R32,IF($E32=BF$1,$S32,BF31))</f>
        <v/>
      </c>
      <c r="BG32" s="15">
        <f>IF($D32=BG$1,$R32,IF($E32=BG$1,$S32,BG31))</f>
        <v/>
      </c>
      <c r="BH32" s="15">
        <f>IF($D32=BH$1,$R32,IF($E32=BH$1,$S32,BH31))</f>
        <v/>
      </c>
      <c r="BI32" s="15">
        <f>IF($D32=BI$1,$R32,IF($E32=BI$1,$S32,BI31))</f>
        <v/>
      </c>
      <c r="BJ32" s="15">
        <f>IF($D32=BJ$1,$R32,IF($E32=BJ$1,$S32,BJ31))</f>
        <v/>
      </c>
      <c r="BK32" s="15">
        <f>IF($D32=BK$1,$R32,IF($E32=BK$1,$S32,BK31))</f>
        <v/>
      </c>
      <c r="BL32" s="15">
        <f>IF($D32=BL$1,$R32,IF($E32=BL$1,$S32,BL31))</f>
        <v/>
      </c>
      <c r="BM32" s="15">
        <f>IF($D32=BM$1,$R32,IF($E32=BM$1,$S32,BM31))</f>
        <v/>
      </c>
      <c r="BN32" s="15">
        <f>IF($D32=BN$1,$R32,IF($E32=BN$1,$S32,BN31))</f>
        <v/>
      </c>
      <c r="BO32" s="15">
        <f>IF($D32=BO$1,$R32,IF($E32=BO$1,$S32,BO31))</f>
        <v/>
      </c>
      <c r="BP32" s="15">
        <f>IF($D32=BP$1,$R32,IF($E32=BP$1,$S32,BP31))</f>
        <v/>
      </c>
      <c r="BQ32" s="15">
        <f>IF($D32=BQ$1,$R32,IF($E32=BQ$1,$S32,BQ31))</f>
        <v/>
      </c>
      <c r="BR32" s="15">
        <f>IF($D32=BR$1,$R32,IF($E32=BR$1,$S32,BR31))</f>
        <v/>
      </c>
      <c r="BS32" s="15">
        <f>IF($D32=BS$1,$R32,IF($E32=BS$1,$S32,BS31))</f>
        <v/>
      </c>
      <c r="BT32" s="15">
        <f>IF($D32=BT$1,$R32,IF($E32=BT$1,$S32,BT31))</f>
        <v/>
      </c>
      <c r="BU32" s="15">
        <f>IF($D32=BU$1,$R32,IF($E32=BU$1,$S32,BU31))</f>
        <v/>
      </c>
      <c r="BV32" s="15">
        <f>IF($D32=BV$1,$R32,IF($E32=BV$1,$S32,BV31))</f>
        <v/>
      </c>
      <c r="BW32" s="15">
        <f>IF($D32=BW$1,$R32,IF($E32=BW$1,$S32,BW31))</f>
        <v/>
      </c>
      <c r="BX32" s="15">
        <f>IF($D32=BX$1,$R32,IF($E32=BX$1,$S32,BX31))</f>
        <v/>
      </c>
      <c r="BY32" s="15">
        <f>IF($D32=BY$1,$R32,IF($E32=BY$1,$S32,BY31))</f>
        <v/>
      </c>
      <c r="BZ32" s="15">
        <f>IF($D32=BZ$1,$R32,IF($E32=BZ$1,$S32,BZ31))</f>
        <v/>
      </c>
    </row>
    <row r="33" ht="15" customHeight="1">
      <c r="A33" s="7">
        <f>Fixture!A32</f>
        <v/>
      </c>
      <c r="B33" s="7">
        <f>Fixture!B32</f>
        <v/>
      </c>
      <c r="C33" s="7">
        <f>Fixture!C32</f>
        <v/>
      </c>
      <c r="D33" s="7">
        <f>Fixture!E32</f>
        <v/>
      </c>
      <c r="E33" s="7">
        <f>Fixture!F32</f>
        <v/>
      </c>
      <c r="F33" s="7">
        <f>Fixture!J32</f>
        <v/>
      </c>
      <c r="G33" s="7">
        <f>Fixture!K32</f>
        <v/>
      </c>
      <c r="H33" s="7">
        <f>IF(ISNUMBER(Resultados!B32),1,0)</f>
        <v/>
      </c>
      <c r="I33" s="7">
        <f>IF($H33=1,Resultados!B32,0)</f>
        <v/>
      </c>
      <c r="J33" s="7">
        <f>IF($H33=1,Resultados!C32,0)</f>
        <v/>
      </c>
      <c r="K33" s="12">
        <f>IFERROR(INDEX($AE32:$BZ32,MATCH($D33,$AE$1:$BZ$1,0)),"")</f>
        <v/>
      </c>
      <c r="L33" s="12">
        <f>IFERROR(INDEX($AE32:$BZ32,MATCH($E33,$AE$1:$BZ$1,0)),"")</f>
        <v/>
      </c>
      <c r="M33" s="12">
        <f>IF(OR($K33="",$L33=""),"",($K33+100*$F33)-($L33+100*$G33))</f>
        <v/>
      </c>
      <c r="N33" s="13">
        <f>IF($M33="","",1/(1+10^(-$M33/400)))</f>
        <v/>
      </c>
      <c r="O33" s="7">
        <f>IF(OR($H33=0,$N33=""),"",IF($I33&gt;$J33,1,IF($I33=$J33,0.5,0)))</f>
        <v/>
      </c>
      <c r="P33" s="14">
        <f>IF($O33="","",IF(ABS($I33-$J33)&lt;=1,1,IF(ABS($I33-$J33)=2,1.5,IF(ABS($I33-$J33)=3,1.75,1.75+(ABS($I33-$J33)-3)/8))))</f>
        <v/>
      </c>
      <c r="Q33" s="14">
        <f>IF($O33="",0,Equipos!$O$4*$P33*($O33-$N33))</f>
        <v/>
      </c>
      <c r="R33" s="12">
        <f>IF($K33="","",$K33+$Q33)</f>
        <v/>
      </c>
      <c r="S33" s="12">
        <f>IF($L33="","",$L33-$Q33)</f>
        <v/>
      </c>
      <c r="T33" s="14">
        <f>IF($M33="","",Equipos!$O$3*$M33)</f>
        <v/>
      </c>
      <c r="U33" s="14">
        <f>IFERROR(VLOOKUP($D33,Equipos!$A:$H,6,0),"")</f>
        <v/>
      </c>
      <c r="V33" s="14">
        <f>IFERROR(VLOOKUP($D33,Equipos!$A:$H,7,0),"")</f>
        <v/>
      </c>
      <c r="W33" s="14">
        <f>IFERROR(VLOOKUP($E33,Equipos!$A:$H,6,0),"")</f>
        <v/>
      </c>
      <c r="X33" s="14">
        <f>IFERROR(VLOOKUP($E33,Equipos!$A:$H,7,0),"")</f>
        <v/>
      </c>
      <c r="Y33" s="14">
        <f>IF(OR($U33="",$W33=""),"",MIN(3.6,MAX(1.8,Equipos!$O$2*SQRT($U33*$W33*$V33*$X33))))</f>
        <v/>
      </c>
      <c r="Z33" s="14">
        <f>IF(OR($Y33="",$T33=""),"",MAX(0.2,($Y33+$T33)/2))</f>
        <v/>
      </c>
      <c r="AA33" s="14">
        <f>IF(OR($Y33="",$T33=""),"",MAX(0.2,($Y33-$T33)/2))</f>
        <v/>
      </c>
      <c r="AE33" s="15">
        <f>IF($D33=AE$1,$R33,IF($E33=AE$1,$S33,AE32))</f>
        <v/>
      </c>
      <c r="AF33" s="15">
        <f>IF($D33=AF$1,$R33,IF($E33=AF$1,$S33,AF32))</f>
        <v/>
      </c>
      <c r="AG33" s="15">
        <f>IF($D33=AG$1,$R33,IF($E33=AG$1,$S33,AG32))</f>
        <v/>
      </c>
      <c r="AH33" s="15">
        <f>IF($D33=AH$1,$R33,IF($E33=AH$1,$S33,AH32))</f>
        <v/>
      </c>
      <c r="AI33" s="15">
        <f>IF($D33=AI$1,$R33,IF($E33=AI$1,$S33,AI32))</f>
        <v/>
      </c>
      <c r="AJ33" s="15">
        <f>IF($D33=AJ$1,$R33,IF($E33=AJ$1,$S33,AJ32))</f>
        <v/>
      </c>
      <c r="AK33" s="15">
        <f>IF($D33=AK$1,$R33,IF($E33=AK$1,$S33,AK32))</f>
        <v/>
      </c>
      <c r="AL33" s="15">
        <f>IF($D33=AL$1,$R33,IF($E33=AL$1,$S33,AL32))</f>
        <v/>
      </c>
      <c r="AM33" s="15">
        <f>IF($D33=AM$1,$R33,IF($E33=AM$1,$S33,AM32))</f>
        <v/>
      </c>
      <c r="AN33" s="15">
        <f>IF($D33=AN$1,$R33,IF($E33=AN$1,$S33,AN32))</f>
        <v/>
      </c>
      <c r="AO33" s="15">
        <f>IF($D33=AO$1,$R33,IF($E33=AO$1,$S33,AO32))</f>
        <v/>
      </c>
      <c r="AP33" s="15">
        <f>IF($D33=AP$1,$R33,IF($E33=AP$1,$S33,AP32))</f>
        <v/>
      </c>
      <c r="AQ33" s="15">
        <f>IF($D33=AQ$1,$R33,IF($E33=AQ$1,$S33,AQ32))</f>
        <v/>
      </c>
      <c r="AR33" s="15">
        <f>IF($D33=AR$1,$R33,IF($E33=AR$1,$S33,AR32))</f>
        <v/>
      </c>
      <c r="AS33" s="15">
        <f>IF($D33=AS$1,$R33,IF($E33=AS$1,$S33,AS32))</f>
        <v/>
      </c>
      <c r="AT33" s="15">
        <f>IF($D33=AT$1,$R33,IF($E33=AT$1,$S33,AT32))</f>
        <v/>
      </c>
      <c r="AU33" s="15">
        <f>IF($D33=AU$1,$R33,IF($E33=AU$1,$S33,AU32))</f>
        <v/>
      </c>
      <c r="AV33" s="15">
        <f>IF($D33=AV$1,$R33,IF($E33=AV$1,$S33,AV32))</f>
        <v/>
      </c>
      <c r="AW33" s="15">
        <f>IF($D33=AW$1,$R33,IF($E33=AW$1,$S33,AW32))</f>
        <v/>
      </c>
      <c r="AX33" s="15">
        <f>IF($D33=AX$1,$R33,IF($E33=AX$1,$S33,AX32))</f>
        <v/>
      </c>
      <c r="AY33" s="15">
        <f>IF($D33=AY$1,$R33,IF($E33=AY$1,$S33,AY32))</f>
        <v/>
      </c>
      <c r="AZ33" s="15">
        <f>IF($D33=AZ$1,$R33,IF($E33=AZ$1,$S33,AZ32))</f>
        <v/>
      </c>
      <c r="BA33" s="15">
        <f>IF($D33=BA$1,$R33,IF($E33=BA$1,$S33,BA32))</f>
        <v/>
      </c>
      <c r="BB33" s="15">
        <f>IF($D33=BB$1,$R33,IF($E33=BB$1,$S33,BB32))</f>
        <v/>
      </c>
      <c r="BC33" s="15">
        <f>IF($D33=BC$1,$R33,IF($E33=BC$1,$S33,BC32))</f>
        <v/>
      </c>
      <c r="BD33" s="15">
        <f>IF($D33=BD$1,$R33,IF($E33=BD$1,$S33,BD32))</f>
        <v/>
      </c>
      <c r="BE33" s="15">
        <f>IF($D33=BE$1,$R33,IF($E33=BE$1,$S33,BE32))</f>
        <v/>
      </c>
      <c r="BF33" s="15">
        <f>IF($D33=BF$1,$R33,IF($E33=BF$1,$S33,BF32))</f>
        <v/>
      </c>
      <c r="BG33" s="15">
        <f>IF($D33=BG$1,$R33,IF($E33=BG$1,$S33,BG32))</f>
        <v/>
      </c>
      <c r="BH33" s="15">
        <f>IF($D33=BH$1,$R33,IF($E33=BH$1,$S33,BH32))</f>
        <v/>
      </c>
      <c r="BI33" s="15">
        <f>IF($D33=BI$1,$R33,IF($E33=BI$1,$S33,BI32))</f>
        <v/>
      </c>
      <c r="BJ33" s="15">
        <f>IF($D33=BJ$1,$R33,IF($E33=BJ$1,$S33,BJ32))</f>
        <v/>
      </c>
      <c r="BK33" s="15">
        <f>IF($D33=BK$1,$R33,IF($E33=BK$1,$S33,BK32))</f>
        <v/>
      </c>
      <c r="BL33" s="15">
        <f>IF($D33=BL$1,$R33,IF($E33=BL$1,$S33,BL32))</f>
        <v/>
      </c>
      <c r="BM33" s="15">
        <f>IF($D33=BM$1,$R33,IF($E33=BM$1,$S33,BM32))</f>
        <v/>
      </c>
      <c r="BN33" s="15">
        <f>IF($D33=BN$1,$R33,IF($E33=BN$1,$S33,BN32))</f>
        <v/>
      </c>
      <c r="BO33" s="15">
        <f>IF($D33=BO$1,$R33,IF($E33=BO$1,$S33,BO32))</f>
        <v/>
      </c>
      <c r="BP33" s="15">
        <f>IF($D33=BP$1,$R33,IF($E33=BP$1,$S33,BP32))</f>
        <v/>
      </c>
      <c r="BQ33" s="15">
        <f>IF($D33=BQ$1,$R33,IF($E33=BQ$1,$S33,BQ32))</f>
        <v/>
      </c>
      <c r="BR33" s="15">
        <f>IF($D33=BR$1,$R33,IF($E33=BR$1,$S33,BR32))</f>
        <v/>
      </c>
      <c r="BS33" s="15">
        <f>IF($D33=BS$1,$R33,IF($E33=BS$1,$S33,BS32))</f>
        <v/>
      </c>
      <c r="BT33" s="15">
        <f>IF($D33=BT$1,$R33,IF($E33=BT$1,$S33,BT32))</f>
        <v/>
      </c>
      <c r="BU33" s="15">
        <f>IF($D33=BU$1,$R33,IF($E33=BU$1,$S33,BU32))</f>
        <v/>
      </c>
      <c r="BV33" s="15">
        <f>IF($D33=BV$1,$R33,IF($E33=BV$1,$S33,BV32))</f>
        <v/>
      </c>
      <c r="BW33" s="15">
        <f>IF($D33=BW$1,$R33,IF($E33=BW$1,$S33,BW32))</f>
        <v/>
      </c>
      <c r="BX33" s="15">
        <f>IF($D33=BX$1,$R33,IF($E33=BX$1,$S33,BX32))</f>
        <v/>
      </c>
      <c r="BY33" s="15">
        <f>IF($D33=BY$1,$R33,IF($E33=BY$1,$S33,BY32))</f>
        <v/>
      </c>
      <c r="BZ33" s="15">
        <f>IF($D33=BZ$1,$R33,IF($E33=BZ$1,$S33,BZ32))</f>
        <v/>
      </c>
    </row>
    <row r="34" ht="15" customHeight="1">
      <c r="A34" s="7">
        <f>Fixture!A33</f>
        <v/>
      </c>
      <c r="B34" s="7">
        <f>Fixture!B33</f>
        <v/>
      </c>
      <c r="C34" s="7">
        <f>Fixture!C33</f>
        <v/>
      </c>
      <c r="D34" s="7">
        <f>Fixture!E33</f>
        <v/>
      </c>
      <c r="E34" s="7">
        <f>Fixture!F33</f>
        <v/>
      </c>
      <c r="F34" s="7">
        <f>Fixture!J33</f>
        <v/>
      </c>
      <c r="G34" s="7">
        <f>Fixture!K33</f>
        <v/>
      </c>
      <c r="H34" s="7">
        <f>IF(ISNUMBER(Resultados!B33),1,0)</f>
        <v/>
      </c>
      <c r="I34" s="7">
        <f>IF($H34=1,Resultados!B33,0)</f>
        <v/>
      </c>
      <c r="J34" s="7">
        <f>IF($H34=1,Resultados!C33,0)</f>
        <v/>
      </c>
      <c r="K34" s="12">
        <f>IFERROR(INDEX($AE33:$BZ33,MATCH($D34,$AE$1:$BZ$1,0)),"")</f>
        <v/>
      </c>
      <c r="L34" s="12">
        <f>IFERROR(INDEX($AE33:$BZ33,MATCH($E34,$AE$1:$BZ$1,0)),"")</f>
        <v/>
      </c>
      <c r="M34" s="12">
        <f>IF(OR($K34="",$L34=""),"",($K34+100*$F34)-($L34+100*$G34))</f>
        <v/>
      </c>
      <c r="N34" s="13">
        <f>IF($M34="","",1/(1+10^(-$M34/400)))</f>
        <v/>
      </c>
      <c r="O34" s="7">
        <f>IF(OR($H34=0,$N34=""),"",IF($I34&gt;$J34,1,IF($I34=$J34,0.5,0)))</f>
        <v/>
      </c>
      <c r="P34" s="14">
        <f>IF($O34="","",IF(ABS($I34-$J34)&lt;=1,1,IF(ABS($I34-$J34)=2,1.5,IF(ABS($I34-$J34)=3,1.75,1.75+(ABS($I34-$J34)-3)/8))))</f>
        <v/>
      </c>
      <c r="Q34" s="14">
        <f>IF($O34="",0,Equipos!$O$4*$P34*($O34-$N34))</f>
        <v/>
      </c>
      <c r="R34" s="12">
        <f>IF($K34="","",$K34+$Q34)</f>
        <v/>
      </c>
      <c r="S34" s="12">
        <f>IF($L34="","",$L34-$Q34)</f>
        <v/>
      </c>
      <c r="T34" s="14">
        <f>IF($M34="","",Equipos!$O$3*$M34)</f>
        <v/>
      </c>
      <c r="U34" s="14">
        <f>IFERROR(VLOOKUP($D34,Equipos!$A:$H,6,0),"")</f>
        <v/>
      </c>
      <c r="V34" s="14">
        <f>IFERROR(VLOOKUP($D34,Equipos!$A:$H,7,0),"")</f>
        <v/>
      </c>
      <c r="W34" s="14">
        <f>IFERROR(VLOOKUP($E34,Equipos!$A:$H,6,0),"")</f>
        <v/>
      </c>
      <c r="X34" s="14">
        <f>IFERROR(VLOOKUP($E34,Equipos!$A:$H,7,0),"")</f>
        <v/>
      </c>
      <c r="Y34" s="14">
        <f>IF(OR($U34="",$W34=""),"",MIN(3.6,MAX(1.8,Equipos!$O$2*SQRT($U34*$W34*$V34*$X34))))</f>
        <v/>
      </c>
      <c r="Z34" s="14">
        <f>IF(OR($Y34="",$T34=""),"",MAX(0.2,($Y34+$T34)/2))</f>
        <v/>
      </c>
      <c r="AA34" s="14">
        <f>IF(OR($Y34="",$T34=""),"",MAX(0.2,($Y34-$T34)/2))</f>
        <v/>
      </c>
      <c r="AE34" s="15">
        <f>IF($D34=AE$1,$R34,IF($E34=AE$1,$S34,AE33))</f>
        <v/>
      </c>
      <c r="AF34" s="15">
        <f>IF($D34=AF$1,$R34,IF($E34=AF$1,$S34,AF33))</f>
        <v/>
      </c>
      <c r="AG34" s="15">
        <f>IF($D34=AG$1,$R34,IF($E34=AG$1,$S34,AG33))</f>
        <v/>
      </c>
      <c r="AH34" s="15">
        <f>IF($D34=AH$1,$R34,IF($E34=AH$1,$S34,AH33))</f>
        <v/>
      </c>
      <c r="AI34" s="15">
        <f>IF($D34=AI$1,$R34,IF($E34=AI$1,$S34,AI33))</f>
        <v/>
      </c>
      <c r="AJ34" s="15">
        <f>IF($D34=AJ$1,$R34,IF($E34=AJ$1,$S34,AJ33))</f>
        <v/>
      </c>
      <c r="AK34" s="15">
        <f>IF($D34=AK$1,$R34,IF($E34=AK$1,$S34,AK33))</f>
        <v/>
      </c>
      <c r="AL34" s="15">
        <f>IF($D34=AL$1,$R34,IF($E34=AL$1,$S34,AL33))</f>
        <v/>
      </c>
      <c r="AM34" s="15">
        <f>IF($D34=AM$1,$R34,IF($E34=AM$1,$S34,AM33))</f>
        <v/>
      </c>
      <c r="AN34" s="15">
        <f>IF($D34=AN$1,$R34,IF($E34=AN$1,$S34,AN33))</f>
        <v/>
      </c>
      <c r="AO34" s="15">
        <f>IF($D34=AO$1,$R34,IF($E34=AO$1,$S34,AO33))</f>
        <v/>
      </c>
      <c r="AP34" s="15">
        <f>IF($D34=AP$1,$R34,IF($E34=AP$1,$S34,AP33))</f>
        <v/>
      </c>
      <c r="AQ34" s="15">
        <f>IF($D34=AQ$1,$R34,IF($E34=AQ$1,$S34,AQ33))</f>
        <v/>
      </c>
      <c r="AR34" s="15">
        <f>IF($D34=AR$1,$R34,IF($E34=AR$1,$S34,AR33))</f>
        <v/>
      </c>
      <c r="AS34" s="15">
        <f>IF($D34=AS$1,$R34,IF($E34=AS$1,$S34,AS33))</f>
        <v/>
      </c>
      <c r="AT34" s="15">
        <f>IF($D34=AT$1,$R34,IF($E34=AT$1,$S34,AT33))</f>
        <v/>
      </c>
      <c r="AU34" s="15">
        <f>IF($D34=AU$1,$R34,IF($E34=AU$1,$S34,AU33))</f>
        <v/>
      </c>
      <c r="AV34" s="15">
        <f>IF($D34=AV$1,$R34,IF($E34=AV$1,$S34,AV33))</f>
        <v/>
      </c>
      <c r="AW34" s="15">
        <f>IF($D34=AW$1,$R34,IF($E34=AW$1,$S34,AW33))</f>
        <v/>
      </c>
      <c r="AX34" s="15">
        <f>IF($D34=AX$1,$R34,IF($E34=AX$1,$S34,AX33))</f>
        <v/>
      </c>
      <c r="AY34" s="15">
        <f>IF($D34=AY$1,$R34,IF($E34=AY$1,$S34,AY33))</f>
        <v/>
      </c>
      <c r="AZ34" s="15">
        <f>IF($D34=AZ$1,$R34,IF($E34=AZ$1,$S34,AZ33))</f>
        <v/>
      </c>
      <c r="BA34" s="15">
        <f>IF($D34=BA$1,$R34,IF($E34=BA$1,$S34,BA33))</f>
        <v/>
      </c>
      <c r="BB34" s="15">
        <f>IF($D34=BB$1,$R34,IF($E34=BB$1,$S34,BB33))</f>
        <v/>
      </c>
      <c r="BC34" s="15">
        <f>IF($D34=BC$1,$R34,IF($E34=BC$1,$S34,BC33))</f>
        <v/>
      </c>
      <c r="BD34" s="15">
        <f>IF($D34=BD$1,$R34,IF($E34=BD$1,$S34,BD33))</f>
        <v/>
      </c>
      <c r="BE34" s="15">
        <f>IF($D34=BE$1,$R34,IF($E34=BE$1,$S34,BE33))</f>
        <v/>
      </c>
      <c r="BF34" s="15">
        <f>IF($D34=BF$1,$R34,IF($E34=BF$1,$S34,BF33))</f>
        <v/>
      </c>
      <c r="BG34" s="15">
        <f>IF($D34=BG$1,$R34,IF($E34=BG$1,$S34,BG33))</f>
        <v/>
      </c>
      <c r="BH34" s="15">
        <f>IF($D34=BH$1,$R34,IF($E34=BH$1,$S34,BH33))</f>
        <v/>
      </c>
      <c r="BI34" s="15">
        <f>IF($D34=BI$1,$R34,IF($E34=BI$1,$S34,BI33))</f>
        <v/>
      </c>
      <c r="BJ34" s="15">
        <f>IF($D34=BJ$1,$R34,IF($E34=BJ$1,$S34,BJ33))</f>
        <v/>
      </c>
      <c r="BK34" s="15">
        <f>IF($D34=BK$1,$R34,IF($E34=BK$1,$S34,BK33))</f>
        <v/>
      </c>
      <c r="BL34" s="15">
        <f>IF($D34=BL$1,$R34,IF($E34=BL$1,$S34,BL33))</f>
        <v/>
      </c>
      <c r="BM34" s="15">
        <f>IF($D34=BM$1,$R34,IF($E34=BM$1,$S34,BM33))</f>
        <v/>
      </c>
      <c r="BN34" s="15">
        <f>IF($D34=BN$1,$R34,IF($E34=BN$1,$S34,BN33))</f>
        <v/>
      </c>
      <c r="BO34" s="15">
        <f>IF($D34=BO$1,$R34,IF($E34=BO$1,$S34,BO33))</f>
        <v/>
      </c>
      <c r="BP34" s="15">
        <f>IF($D34=BP$1,$R34,IF($E34=BP$1,$S34,BP33))</f>
        <v/>
      </c>
      <c r="BQ34" s="15">
        <f>IF($D34=BQ$1,$R34,IF($E34=BQ$1,$S34,BQ33))</f>
        <v/>
      </c>
      <c r="BR34" s="15">
        <f>IF($D34=BR$1,$R34,IF($E34=BR$1,$S34,BR33))</f>
        <v/>
      </c>
      <c r="BS34" s="15">
        <f>IF($D34=BS$1,$R34,IF($E34=BS$1,$S34,BS33))</f>
        <v/>
      </c>
      <c r="BT34" s="15">
        <f>IF($D34=BT$1,$R34,IF($E34=BT$1,$S34,BT33))</f>
        <v/>
      </c>
      <c r="BU34" s="15">
        <f>IF($D34=BU$1,$R34,IF($E34=BU$1,$S34,BU33))</f>
        <v/>
      </c>
      <c r="BV34" s="15">
        <f>IF($D34=BV$1,$R34,IF($E34=BV$1,$S34,BV33))</f>
        <v/>
      </c>
      <c r="BW34" s="15">
        <f>IF($D34=BW$1,$R34,IF($E34=BW$1,$S34,BW33))</f>
        <v/>
      </c>
      <c r="BX34" s="15">
        <f>IF($D34=BX$1,$R34,IF($E34=BX$1,$S34,BX33))</f>
        <v/>
      </c>
      <c r="BY34" s="15">
        <f>IF($D34=BY$1,$R34,IF($E34=BY$1,$S34,BY33))</f>
        <v/>
      </c>
      <c r="BZ34" s="15">
        <f>IF($D34=BZ$1,$R34,IF($E34=BZ$1,$S34,BZ33))</f>
        <v/>
      </c>
    </row>
    <row r="35" ht="15" customHeight="1">
      <c r="A35" s="7">
        <f>Fixture!A34</f>
        <v/>
      </c>
      <c r="B35" s="7">
        <f>Fixture!B34</f>
        <v/>
      </c>
      <c r="C35" s="7">
        <f>Fixture!C34</f>
        <v/>
      </c>
      <c r="D35" s="7">
        <f>Fixture!E34</f>
        <v/>
      </c>
      <c r="E35" s="7">
        <f>Fixture!F34</f>
        <v/>
      </c>
      <c r="F35" s="7">
        <f>Fixture!J34</f>
        <v/>
      </c>
      <c r="G35" s="7">
        <f>Fixture!K34</f>
        <v/>
      </c>
      <c r="H35" s="7">
        <f>IF(ISNUMBER(Resultados!B34),1,0)</f>
        <v/>
      </c>
      <c r="I35" s="7">
        <f>IF($H35=1,Resultados!B34,0)</f>
        <v/>
      </c>
      <c r="J35" s="7">
        <f>IF($H35=1,Resultados!C34,0)</f>
        <v/>
      </c>
      <c r="K35" s="12">
        <f>IFERROR(INDEX($AE34:$BZ34,MATCH($D35,$AE$1:$BZ$1,0)),"")</f>
        <v/>
      </c>
      <c r="L35" s="12">
        <f>IFERROR(INDEX($AE34:$BZ34,MATCH($E35,$AE$1:$BZ$1,0)),"")</f>
        <v/>
      </c>
      <c r="M35" s="12">
        <f>IF(OR($K35="",$L35=""),"",($K35+100*$F35)-($L35+100*$G35))</f>
        <v/>
      </c>
      <c r="N35" s="13">
        <f>IF($M35="","",1/(1+10^(-$M35/400)))</f>
        <v/>
      </c>
      <c r="O35" s="7">
        <f>IF(OR($H35=0,$N35=""),"",IF($I35&gt;$J35,1,IF($I35=$J35,0.5,0)))</f>
        <v/>
      </c>
      <c r="P35" s="14">
        <f>IF($O35="","",IF(ABS($I35-$J35)&lt;=1,1,IF(ABS($I35-$J35)=2,1.5,IF(ABS($I35-$J35)=3,1.75,1.75+(ABS($I35-$J35)-3)/8))))</f>
        <v/>
      </c>
      <c r="Q35" s="14">
        <f>IF($O35="",0,Equipos!$O$4*$P35*($O35-$N35))</f>
        <v/>
      </c>
      <c r="R35" s="12">
        <f>IF($K35="","",$K35+$Q35)</f>
        <v/>
      </c>
      <c r="S35" s="12">
        <f>IF($L35="","",$L35-$Q35)</f>
        <v/>
      </c>
      <c r="T35" s="14">
        <f>IF($M35="","",Equipos!$O$3*$M35)</f>
        <v/>
      </c>
      <c r="U35" s="14">
        <f>IFERROR(VLOOKUP($D35,Equipos!$A:$H,6,0),"")</f>
        <v/>
      </c>
      <c r="V35" s="14">
        <f>IFERROR(VLOOKUP($D35,Equipos!$A:$H,7,0),"")</f>
        <v/>
      </c>
      <c r="W35" s="14">
        <f>IFERROR(VLOOKUP($E35,Equipos!$A:$H,6,0),"")</f>
        <v/>
      </c>
      <c r="X35" s="14">
        <f>IFERROR(VLOOKUP($E35,Equipos!$A:$H,7,0),"")</f>
        <v/>
      </c>
      <c r="Y35" s="14">
        <f>IF(OR($U35="",$W35=""),"",MIN(3.6,MAX(1.8,Equipos!$O$2*SQRT($U35*$W35*$V35*$X35))))</f>
        <v/>
      </c>
      <c r="Z35" s="14">
        <f>IF(OR($Y35="",$T35=""),"",MAX(0.2,($Y35+$T35)/2))</f>
        <v/>
      </c>
      <c r="AA35" s="14">
        <f>IF(OR($Y35="",$T35=""),"",MAX(0.2,($Y35-$T35)/2))</f>
        <v/>
      </c>
      <c r="AE35" s="15">
        <f>IF($D35=AE$1,$R35,IF($E35=AE$1,$S35,AE34))</f>
        <v/>
      </c>
      <c r="AF35" s="15">
        <f>IF($D35=AF$1,$R35,IF($E35=AF$1,$S35,AF34))</f>
        <v/>
      </c>
      <c r="AG35" s="15">
        <f>IF($D35=AG$1,$R35,IF($E35=AG$1,$S35,AG34))</f>
        <v/>
      </c>
      <c r="AH35" s="15">
        <f>IF($D35=AH$1,$R35,IF($E35=AH$1,$S35,AH34))</f>
        <v/>
      </c>
      <c r="AI35" s="15">
        <f>IF($D35=AI$1,$R35,IF($E35=AI$1,$S35,AI34))</f>
        <v/>
      </c>
      <c r="AJ35" s="15">
        <f>IF($D35=AJ$1,$R35,IF($E35=AJ$1,$S35,AJ34))</f>
        <v/>
      </c>
      <c r="AK35" s="15">
        <f>IF($D35=AK$1,$R35,IF($E35=AK$1,$S35,AK34))</f>
        <v/>
      </c>
      <c r="AL35" s="15">
        <f>IF($D35=AL$1,$R35,IF($E35=AL$1,$S35,AL34))</f>
        <v/>
      </c>
      <c r="AM35" s="15">
        <f>IF($D35=AM$1,$R35,IF($E35=AM$1,$S35,AM34))</f>
        <v/>
      </c>
      <c r="AN35" s="15">
        <f>IF($D35=AN$1,$R35,IF($E35=AN$1,$S35,AN34))</f>
        <v/>
      </c>
      <c r="AO35" s="15">
        <f>IF($D35=AO$1,$R35,IF($E35=AO$1,$S35,AO34))</f>
        <v/>
      </c>
      <c r="AP35" s="15">
        <f>IF($D35=AP$1,$R35,IF($E35=AP$1,$S35,AP34))</f>
        <v/>
      </c>
      <c r="AQ35" s="15">
        <f>IF($D35=AQ$1,$R35,IF($E35=AQ$1,$S35,AQ34))</f>
        <v/>
      </c>
      <c r="AR35" s="15">
        <f>IF($D35=AR$1,$R35,IF($E35=AR$1,$S35,AR34))</f>
        <v/>
      </c>
      <c r="AS35" s="15">
        <f>IF($D35=AS$1,$R35,IF($E35=AS$1,$S35,AS34))</f>
        <v/>
      </c>
      <c r="AT35" s="15">
        <f>IF($D35=AT$1,$R35,IF($E35=AT$1,$S35,AT34))</f>
        <v/>
      </c>
      <c r="AU35" s="15">
        <f>IF($D35=AU$1,$R35,IF($E35=AU$1,$S35,AU34))</f>
        <v/>
      </c>
      <c r="AV35" s="15">
        <f>IF($D35=AV$1,$R35,IF($E35=AV$1,$S35,AV34))</f>
        <v/>
      </c>
      <c r="AW35" s="15">
        <f>IF($D35=AW$1,$R35,IF($E35=AW$1,$S35,AW34))</f>
        <v/>
      </c>
      <c r="AX35" s="15">
        <f>IF($D35=AX$1,$R35,IF($E35=AX$1,$S35,AX34))</f>
        <v/>
      </c>
      <c r="AY35" s="15">
        <f>IF($D35=AY$1,$R35,IF($E35=AY$1,$S35,AY34))</f>
        <v/>
      </c>
      <c r="AZ35" s="15">
        <f>IF($D35=AZ$1,$R35,IF($E35=AZ$1,$S35,AZ34))</f>
        <v/>
      </c>
      <c r="BA35" s="15">
        <f>IF($D35=BA$1,$R35,IF($E35=BA$1,$S35,BA34))</f>
        <v/>
      </c>
      <c r="BB35" s="15">
        <f>IF($D35=BB$1,$R35,IF($E35=BB$1,$S35,BB34))</f>
        <v/>
      </c>
      <c r="BC35" s="15">
        <f>IF($D35=BC$1,$R35,IF($E35=BC$1,$S35,BC34))</f>
        <v/>
      </c>
      <c r="BD35" s="15">
        <f>IF($D35=BD$1,$R35,IF($E35=BD$1,$S35,BD34))</f>
        <v/>
      </c>
      <c r="BE35" s="15">
        <f>IF($D35=BE$1,$R35,IF($E35=BE$1,$S35,BE34))</f>
        <v/>
      </c>
      <c r="BF35" s="15">
        <f>IF($D35=BF$1,$R35,IF($E35=BF$1,$S35,BF34))</f>
        <v/>
      </c>
      <c r="BG35" s="15">
        <f>IF($D35=BG$1,$R35,IF($E35=BG$1,$S35,BG34))</f>
        <v/>
      </c>
      <c r="BH35" s="15">
        <f>IF($D35=BH$1,$R35,IF($E35=BH$1,$S35,BH34))</f>
        <v/>
      </c>
      <c r="BI35" s="15">
        <f>IF($D35=BI$1,$R35,IF($E35=BI$1,$S35,BI34))</f>
        <v/>
      </c>
      <c r="BJ35" s="15">
        <f>IF($D35=BJ$1,$R35,IF($E35=BJ$1,$S35,BJ34))</f>
        <v/>
      </c>
      <c r="BK35" s="15">
        <f>IF($D35=BK$1,$R35,IF($E35=BK$1,$S35,BK34))</f>
        <v/>
      </c>
      <c r="BL35" s="15">
        <f>IF($D35=BL$1,$R35,IF($E35=BL$1,$S35,BL34))</f>
        <v/>
      </c>
      <c r="BM35" s="15">
        <f>IF($D35=BM$1,$R35,IF($E35=BM$1,$S35,BM34))</f>
        <v/>
      </c>
      <c r="BN35" s="15">
        <f>IF($D35=BN$1,$R35,IF($E35=BN$1,$S35,BN34))</f>
        <v/>
      </c>
      <c r="BO35" s="15">
        <f>IF($D35=BO$1,$R35,IF($E35=BO$1,$S35,BO34))</f>
        <v/>
      </c>
      <c r="BP35" s="15">
        <f>IF($D35=BP$1,$R35,IF($E35=BP$1,$S35,BP34))</f>
        <v/>
      </c>
      <c r="BQ35" s="15">
        <f>IF($D35=BQ$1,$R35,IF($E35=BQ$1,$S35,BQ34))</f>
        <v/>
      </c>
      <c r="BR35" s="15">
        <f>IF($D35=BR$1,$R35,IF($E35=BR$1,$S35,BR34))</f>
        <v/>
      </c>
      <c r="BS35" s="15">
        <f>IF($D35=BS$1,$R35,IF($E35=BS$1,$S35,BS34))</f>
        <v/>
      </c>
      <c r="BT35" s="15">
        <f>IF($D35=BT$1,$R35,IF($E35=BT$1,$S35,BT34))</f>
        <v/>
      </c>
      <c r="BU35" s="15">
        <f>IF($D35=BU$1,$R35,IF($E35=BU$1,$S35,BU34))</f>
        <v/>
      </c>
      <c r="BV35" s="15">
        <f>IF($D35=BV$1,$R35,IF($E35=BV$1,$S35,BV34))</f>
        <v/>
      </c>
      <c r="BW35" s="15">
        <f>IF($D35=BW$1,$R35,IF($E35=BW$1,$S35,BW34))</f>
        <v/>
      </c>
      <c r="BX35" s="15">
        <f>IF($D35=BX$1,$R35,IF($E35=BX$1,$S35,BX34))</f>
        <v/>
      </c>
      <c r="BY35" s="15">
        <f>IF($D35=BY$1,$R35,IF($E35=BY$1,$S35,BY34))</f>
        <v/>
      </c>
      <c r="BZ35" s="15">
        <f>IF($D35=BZ$1,$R35,IF($E35=BZ$1,$S35,BZ34))</f>
        <v/>
      </c>
    </row>
    <row r="36" ht="15" customHeight="1">
      <c r="A36" s="7">
        <f>Fixture!A35</f>
        <v/>
      </c>
      <c r="B36" s="7">
        <f>Fixture!B35</f>
        <v/>
      </c>
      <c r="C36" s="7">
        <f>Fixture!C35</f>
        <v/>
      </c>
      <c r="D36" s="7">
        <f>Fixture!E35</f>
        <v/>
      </c>
      <c r="E36" s="7">
        <f>Fixture!F35</f>
        <v/>
      </c>
      <c r="F36" s="7">
        <f>Fixture!J35</f>
        <v/>
      </c>
      <c r="G36" s="7">
        <f>Fixture!K35</f>
        <v/>
      </c>
      <c r="H36" s="7">
        <f>IF(ISNUMBER(Resultados!B35),1,0)</f>
        <v/>
      </c>
      <c r="I36" s="7">
        <f>IF($H36=1,Resultados!B35,0)</f>
        <v/>
      </c>
      <c r="J36" s="7">
        <f>IF($H36=1,Resultados!C35,0)</f>
        <v/>
      </c>
      <c r="K36" s="12">
        <f>IFERROR(INDEX($AE35:$BZ35,MATCH($D36,$AE$1:$BZ$1,0)),"")</f>
        <v/>
      </c>
      <c r="L36" s="12">
        <f>IFERROR(INDEX($AE35:$BZ35,MATCH($E36,$AE$1:$BZ$1,0)),"")</f>
        <v/>
      </c>
      <c r="M36" s="12">
        <f>IF(OR($K36="",$L36=""),"",($K36+100*$F36)-($L36+100*$G36))</f>
        <v/>
      </c>
      <c r="N36" s="13">
        <f>IF($M36="","",1/(1+10^(-$M36/400)))</f>
        <v/>
      </c>
      <c r="O36" s="7">
        <f>IF(OR($H36=0,$N36=""),"",IF($I36&gt;$J36,1,IF($I36=$J36,0.5,0)))</f>
        <v/>
      </c>
      <c r="P36" s="14">
        <f>IF($O36="","",IF(ABS($I36-$J36)&lt;=1,1,IF(ABS($I36-$J36)=2,1.5,IF(ABS($I36-$J36)=3,1.75,1.75+(ABS($I36-$J36)-3)/8))))</f>
        <v/>
      </c>
      <c r="Q36" s="14">
        <f>IF($O36="",0,Equipos!$O$4*$P36*($O36-$N36))</f>
        <v/>
      </c>
      <c r="R36" s="12">
        <f>IF($K36="","",$K36+$Q36)</f>
        <v/>
      </c>
      <c r="S36" s="12">
        <f>IF($L36="","",$L36-$Q36)</f>
        <v/>
      </c>
      <c r="T36" s="14">
        <f>IF($M36="","",Equipos!$O$3*$M36)</f>
        <v/>
      </c>
      <c r="U36" s="14">
        <f>IFERROR(VLOOKUP($D36,Equipos!$A:$H,6,0),"")</f>
        <v/>
      </c>
      <c r="V36" s="14">
        <f>IFERROR(VLOOKUP($D36,Equipos!$A:$H,7,0),"")</f>
        <v/>
      </c>
      <c r="W36" s="14">
        <f>IFERROR(VLOOKUP($E36,Equipos!$A:$H,6,0),"")</f>
        <v/>
      </c>
      <c r="X36" s="14">
        <f>IFERROR(VLOOKUP($E36,Equipos!$A:$H,7,0),"")</f>
        <v/>
      </c>
      <c r="Y36" s="14">
        <f>IF(OR($U36="",$W36=""),"",MIN(3.6,MAX(1.8,Equipos!$O$2*SQRT($U36*$W36*$V36*$X36))))</f>
        <v/>
      </c>
      <c r="Z36" s="14">
        <f>IF(OR($Y36="",$T36=""),"",MAX(0.2,($Y36+$T36)/2))</f>
        <v/>
      </c>
      <c r="AA36" s="14">
        <f>IF(OR($Y36="",$T36=""),"",MAX(0.2,($Y36-$T36)/2))</f>
        <v/>
      </c>
      <c r="AE36" s="15">
        <f>IF($D36=AE$1,$R36,IF($E36=AE$1,$S36,AE35))</f>
        <v/>
      </c>
      <c r="AF36" s="15">
        <f>IF($D36=AF$1,$R36,IF($E36=AF$1,$S36,AF35))</f>
        <v/>
      </c>
      <c r="AG36" s="15">
        <f>IF($D36=AG$1,$R36,IF($E36=AG$1,$S36,AG35))</f>
        <v/>
      </c>
      <c r="AH36" s="15">
        <f>IF($D36=AH$1,$R36,IF($E36=AH$1,$S36,AH35))</f>
        <v/>
      </c>
      <c r="AI36" s="15">
        <f>IF($D36=AI$1,$R36,IF($E36=AI$1,$S36,AI35))</f>
        <v/>
      </c>
      <c r="AJ36" s="15">
        <f>IF($D36=AJ$1,$R36,IF($E36=AJ$1,$S36,AJ35))</f>
        <v/>
      </c>
      <c r="AK36" s="15">
        <f>IF($D36=AK$1,$R36,IF($E36=AK$1,$S36,AK35))</f>
        <v/>
      </c>
      <c r="AL36" s="15">
        <f>IF($D36=AL$1,$R36,IF($E36=AL$1,$S36,AL35))</f>
        <v/>
      </c>
      <c r="AM36" s="15">
        <f>IF($D36=AM$1,$R36,IF($E36=AM$1,$S36,AM35))</f>
        <v/>
      </c>
      <c r="AN36" s="15">
        <f>IF($D36=AN$1,$R36,IF($E36=AN$1,$S36,AN35))</f>
        <v/>
      </c>
      <c r="AO36" s="15">
        <f>IF($D36=AO$1,$R36,IF($E36=AO$1,$S36,AO35))</f>
        <v/>
      </c>
      <c r="AP36" s="15">
        <f>IF($D36=AP$1,$R36,IF($E36=AP$1,$S36,AP35))</f>
        <v/>
      </c>
      <c r="AQ36" s="15">
        <f>IF($D36=AQ$1,$R36,IF($E36=AQ$1,$S36,AQ35))</f>
        <v/>
      </c>
      <c r="AR36" s="15">
        <f>IF($D36=AR$1,$R36,IF($E36=AR$1,$S36,AR35))</f>
        <v/>
      </c>
      <c r="AS36" s="15">
        <f>IF($D36=AS$1,$R36,IF($E36=AS$1,$S36,AS35))</f>
        <v/>
      </c>
      <c r="AT36" s="15">
        <f>IF($D36=AT$1,$R36,IF($E36=AT$1,$S36,AT35))</f>
        <v/>
      </c>
      <c r="AU36" s="15">
        <f>IF($D36=AU$1,$R36,IF($E36=AU$1,$S36,AU35))</f>
        <v/>
      </c>
      <c r="AV36" s="15">
        <f>IF($D36=AV$1,$R36,IF($E36=AV$1,$S36,AV35))</f>
        <v/>
      </c>
      <c r="AW36" s="15">
        <f>IF($D36=AW$1,$R36,IF($E36=AW$1,$S36,AW35))</f>
        <v/>
      </c>
      <c r="AX36" s="15">
        <f>IF($D36=AX$1,$R36,IF($E36=AX$1,$S36,AX35))</f>
        <v/>
      </c>
      <c r="AY36" s="15">
        <f>IF($D36=AY$1,$R36,IF($E36=AY$1,$S36,AY35))</f>
        <v/>
      </c>
      <c r="AZ36" s="15">
        <f>IF($D36=AZ$1,$R36,IF($E36=AZ$1,$S36,AZ35))</f>
        <v/>
      </c>
      <c r="BA36" s="15">
        <f>IF($D36=BA$1,$R36,IF($E36=BA$1,$S36,BA35))</f>
        <v/>
      </c>
      <c r="BB36" s="15">
        <f>IF($D36=BB$1,$R36,IF($E36=BB$1,$S36,BB35))</f>
        <v/>
      </c>
      <c r="BC36" s="15">
        <f>IF($D36=BC$1,$R36,IF($E36=BC$1,$S36,BC35))</f>
        <v/>
      </c>
      <c r="BD36" s="15">
        <f>IF($D36=BD$1,$R36,IF($E36=BD$1,$S36,BD35))</f>
        <v/>
      </c>
      <c r="BE36" s="15">
        <f>IF($D36=BE$1,$R36,IF($E36=BE$1,$S36,BE35))</f>
        <v/>
      </c>
      <c r="BF36" s="15">
        <f>IF($D36=BF$1,$R36,IF($E36=BF$1,$S36,BF35))</f>
        <v/>
      </c>
      <c r="BG36" s="15">
        <f>IF($D36=BG$1,$R36,IF($E36=BG$1,$S36,BG35))</f>
        <v/>
      </c>
      <c r="BH36" s="15">
        <f>IF($D36=BH$1,$R36,IF($E36=BH$1,$S36,BH35))</f>
        <v/>
      </c>
      <c r="BI36" s="15">
        <f>IF($D36=BI$1,$R36,IF($E36=BI$1,$S36,BI35))</f>
        <v/>
      </c>
      <c r="BJ36" s="15">
        <f>IF($D36=BJ$1,$R36,IF($E36=BJ$1,$S36,BJ35))</f>
        <v/>
      </c>
      <c r="BK36" s="15">
        <f>IF($D36=BK$1,$R36,IF($E36=BK$1,$S36,BK35))</f>
        <v/>
      </c>
      <c r="BL36" s="15">
        <f>IF($D36=BL$1,$R36,IF($E36=BL$1,$S36,BL35))</f>
        <v/>
      </c>
      <c r="BM36" s="15">
        <f>IF($D36=BM$1,$R36,IF($E36=BM$1,$S36,BM35))</f>
        <v/>
      </c>
      <c r="BN36" s="15">
        <f>IF($D36=BN$1,$R36,IF($E36=BN$1,$S36,BN35))</f>
        <v/>
      </c>
      <c r="BO36" s="15">
        <f>IF($D36=BO$1,$R36,IF($E36=BO$1,$S36,BO35))</f>
        <v/>
      </c>
      <c r="BP36" s="15">
        <f>IF($D36=BP$1,$R36,IF($E36=BP$1,$S36,BP35))</f>
        <v/>
      </c>
      <c r="BQ36" s="15">
        <f>IF($D36=BQ$1,$R36,IF($E36=BQ$1,$S36,BQ35))</f>
        <v/>
      </c>
      <c r="BR36" s="15">
        <f>IF($D36=BR$1,$R36,IF($E36=BR$1,$S36,BR35))</f>
        <v/>
      </c>
      <c r="BS36" s="15">
        <f>IF($D36=BS$1,$R36,IF($E36=BS$1,$S36,BS35))</f>
        <v/>
      </c>
      <c r="BT36" s="15">
        <f>IF($D36=BT$1,$R36,IF($E36=BT$1,$S36,BT35))</f>
        <v/>
      </c>
      <c r="BU36" s="15">
        <f>IF($D36=BU$1,$R36,IF($E36=BU$1,$S36,BU35))</f>
        <v/>
      </c>
      <c r="BV36" s="15">
        <f>IF($D36=BV$1,$R36,IF($E36=BV$1,$S36,BV35))</f>
        <v/>
      </c>
      <c r="BW36" s="15">
        <f>IF($D36=BW$1,$R36,IF($E36=BW$1,$S36,BW35))</f>
        <v/>
      </c>
      <c r="BX36" s="15">
        <f>IF($D36=BX$1,$R36,IF($E36=BX$1,$S36,BX35))</f>
        <v/>
      </c>
      <c r="BY36" s="15">
        <f>IF($D36=BY$1,$R36,IF($E36=BY$1,$S36,BY35))</f>
        <v/>
      </c>
      <c r="BZ36" s="15">
        <f>IF($D36=BZ$1,$R36,IF($E36=BZ$1,$S36,BZ35))</f>
        <v/>
      </c>
    </row>
    <row r="37" ht="15" customHeight="1">
      <c r="A37" s="7">
        <f>Fixture!A36</f>
        <v/>
      </c>
      <c r="B37" s="7">
        <f>Fixture!B36</f>
        <v/>
      </c>
      <c r="C37" s="7">
        <f>Fixture!C36</f>
        <v/>
      </c>
      <c r="D37" s="7">
        <f>Fixture!E36</f>
        <v/>
      </c>
      <c r="E37" s="7">
        <f>Fixture!F36</f>
        <v/>
      </c>
      <c r="F37" s="7">
        <f>Fixture!J36</f>
        <v/>
      </c>
      <c r="G37" s="7">
        <f>Fixture!K36</f>
        <v/>
      </c>
      <c r="H37" s="7">
        <f>IF(ISNUMBER(Resultados!B36),1,0)</f>
        <v/>
      </c>
      <c r="I37" s="7">
        <f>IF($H37=1,Resultados!B36,0)</f>
        <v/>
      </c>
      <c r="J37" s="7">
        <f>IF($H37=1,Resultados!C36,0)</f>
        <v/>
      </c>
      <c r="K37" s="12">
        <f>IFERROR(INDEX($AE36:$BZ36,MATCH($D37,$AE$1:$BZ$1,0)),"")</f>
        <v/>
      </c>
      <c r="L37" s="12">
        <f>IFERROR(INDEX($AE36:$BZ36,MATCH($E37,$AE$1:$BZ$1,0)),"")</f>
        <v/>
      </c>
      <c r="M37" s="12">
        <f>IF(OR($K37="",$L37=""),"",($K37+100*$F37)-($L37+100*$G37))</f>
        <v/>
      </c>
      <c r="N37" s="13">
        <f>IF($M37="","",1/(1+10^(-$M37/400)))</f>
        <v/>
      </c>
      <c r="O37" s="7">
        <f>IF(OR($H37=0,$N37=""),"",IF($I37&gt;$J37,1,IF($I37=$J37,0.5,0)))</f>
        <v/>
      </c>
      <c r="P37" s="14">
        <f>IF($O37="","",IF(ABS($I37-$J37)&lt;=1,1,IF(ABS($I37-$J37)=2,1.5,IF(ABS($I37-$J37)=3,1.75,1.75+(ABS($I37-$J37)-3)/8))))</f>
        <v/>
      </c>
      <c r="Q37" s="14">
        <f>IF($O37="",0,Equipos!$O$4*$P37*($O37-$N37))</f>
        <v/>
      </c>
      <c r="R37" s="12">
        <f>IF($K37="","",$K37+$Q37)</f>
        <v/>
      </c>
      <c r="S37" s="12">
        <f>IF($L37="","",$L37-$Q37)</f>
        <v/>
      </c>
      <c r="T37" s="14">
        <f>IF($M37="","",Equipos!$O$3*$M37)</f>
        <v/>
      </c>
      <c r="U37" s="14">
        <f>IFERROR(VLOOKUP($D37,Equipos!$A:$H,6,0),"")</f>
        <v/>
      </c>
      <c r="V37" s="14">
        <f>IFERROR(VLOOKUP($D37,Equipos!$A:$H,7,0),"")</f>
        <v/>
      </c>
      <c r="W37" s="14">
        <f>IFERROR(VLOOKUP($E37,Equipos!$A:$H,6,0),"")</f>
        <v/>
      </c>
      <c r="X37" s="14">
        <f>IFERROR(VLOOKUP($E37,Equipos!$A:$H,7,0),"")</f>
        <v/>
      </c>
      <c r="Y37" s="14">
        <f>IF(OR($U37="",$W37=""),"",MIN(3.6,MAX(1.8,Equipos!$O$2*SQRT($U37*$W37*$V37*$X37))))</f>
        <v/>
      </c>
      <c r="Z37" s="14">
        <f>IF(OR($Y37="",$T37=""),"",MAX(0.2,($Y37+$T37)/2))</f>
        <v/>
      </c>
      <c r="AA37" s="14">
        <f>IF(OR($Y37="",$T37=""),"",MAX(0.2,($Y37-$T37)/2))</f>
        <v/>
      </c>
      <c r="AE37" s="15">
        <f>IF($D37=AE$1,$R37,IF($E37=AE$1,$S37,AE36))</f>
        <v/>
      </c>
      <c r="AF37" s="15">
        <f>IF($D37=AF$1,$R37,IF($E37=AF$1,$S37,AF36))</f>
        <v/>
      </c>
      <c r="AG37" s="15">
        <f>IF($D37=AG$1,$R37,IF($E37=AG$1,$S37,AG36))</f>
        <v/>
      </c>
      <c r="AH37" s="15">
        <f>IF($D37=AH$1,$R37,IF($E37=AH$1,$S37,AH36))</f>
        <v/>
      </c>
      <c r="AI37" s="15">
        <f>IF($D37=AI$1,$R37,IF($E37=AI$1,$S37,AI36))</f>
        <v/>
      </c>
      <c r="AJ37" s="15">
        <f>IF($D37=AJ$1,$R37,IF($E37=AJ$1,$S37,AJ36))</f>
        <v/>
      </c>
      <c r="AK37" s="15">
        <f>IF($D37=AK$1,$R37,IF($E37=AK$1,$S37,AK36))</f>
        <v/>
      </c>
      <c r="AL37" s="15">
        <f>IF($D37=AL$1,$R37,IF($E37=AL$1,$S37,AL36))</f>
        <v/>
      </c>
      <c r="AM37" s="15">
        <f>IF($D37=AM$1,$R37,IF($E37=AM$1,$S37,AM36))</f>
        <v/>
      </c>
      <c r="AN37" s="15">
        <f>IF($D37=AN$1,$R37,IF($E37=AN$1,$S37,AN36))</f>
        <v/>
      </c>
      <c r="AO37" s="15">
        <f>IF($D37=AO$1,$R37,IF($E37=AO$1,$S37,AO36))</f>
        <v/>
      </c>
      <c r="AP37" s="15">
        <f>IF($D37=AP$1,$R37,IF($E37=AP$1,$S37,AP36))</f>
        <v/>
      </c>
      <c r="AQ37" s="15">
        <f>IF($D37=AQ$1,$R37,IF($E37=AQ$1,$S37,AQ36))</f>
        <v/>
      </c>
      <c r="AR37" s="15">
        <f>IF($D37=AR$1,$R37,IF($E37=AR$1,$S37,AR36))</f>
        <v/>
      </c>
      <c r="AS37" s="15">
        <f>IF($D37=AS$1,$R37,IF($E37=AS$1,$S37,AS36))</f>
        <v/>
      </c>
      <c r="AT37" s="15">
        <f>IF($D37=AT$1,$R37,IF($E37=AT$1,$S37,AT36))</f>
        <v/>
      </c>
      <c r="AU37" s="15">
        <f>IF($D37=AU$1,$R37,IF($E37=AU$1,$S37,AU36))</f>
        <v/>
      </c>
      <c r="AV37" s="15">
        <f>IF($D37=AV$1,$R37,IF($E37=AV$1,$S37,AV36))</f>
        <v/>
      </c>
      <c r="AW37" s="15">
        <f>IF($D37=AW$1,$R37,IF($E37=AW$1,$S37,AW36))</f>
        <v/>
      </c>
      <c r="AX37" s="15">
        <f>IF($D37=AX$1,$R37,IF($E37=AX$1,$S37,AX36))</f>
        <v/>
      </c>
      <c r="AY37" s="15">
        <f>IF($D37=AY$1,$R37,IF($E37=AY$1,$S37,AY36))</f>
        <v/>
      </c>
      <c r="AZ37" s="15">
        <f>IF($D37=AZ$1,$R37,IF($E37=AZ$1,$S37,AZ36))</f>
        <v/>
      </c>
      <c r="BA37" s="15">
        <f>IF($D37=BA$1,$R37,IF($E37=BA$1,$S37,BA36))</f>
        <v/>
      </c>
      <c r="BB37" s="15">
        <f>IF($D37=BB$1,$R37,IF($E37=BB$1,$S37,BB36))</f>
        <v/>
      </c>
      <c r="BC37" s="15">
        <f>IF($D37=BC$1,$R37,IF($E37=BC$1,$S37,BC36))</f>
        <v/>
      </c>
      <c r="BD37" s="15">
        <f>IF($D37=BD$1,$R37,IF($E37=BD$1,$S37,BD36))</f>
        <v/>
      </c>
      <c r="BE37" s="15">
        <f>IF($D37=BE$1,$R37,IF($E37=BE$1,$S37,BE36))</f>
        <v/>
      </c>
      <c r="BF37" s="15">
        <f>IF($D37=BF$1,$R37,IF($E37=BF$1,$S37,BF36))</f>
        <v/>
      </c>
      <c r="BG37" s="15">
        <f>IF($D37=BG$1,$R37,IF($E37=BG$1,$S37,BG36))</f>
        <v/>
      </c>
      <c r="BH37" s="15">
        <f>IF($D37=BH$1,$R37,IF($E37=BH$1,$S37,BH36))</f>
        <v/>
      </c>
      <c r="BI37" s="15">
        <f>IF($D37=BI$1,$R37,IF($E37=BI$1,$S37,BI36))</f>
        <v/>
      </c>
      <c r="BJ37" s="15">
        <f>IF($D37=BJ$1,$R37,IF($E37=BJ$1,$S37,BJ36))</f>
        <v/>
      </c>
      <c r="BK37" s="15">
        <f>IF($D37=BK$1,$R37,IF($E37=BK$1,$S37,BK36))</f>
        <v/>
      </c>
      <c r="BL37" s="15">
        <f>IF($D37=BL$1,$R37,IF($E37=BL$1,$S37,BL36))</f>
        <v/>
      </c>
      <c r="BM37" s="15">
        <f>IF($D37=BM$1,$R37,IF($E37=BM$1,$S37,BM36))</f>
        <v/>
      </c>
      <c r="BN37" s="15">
        <f>IF($D37=BN$1,$R37,IF($E37=BN$1,$S37,BN36))</f>
        <v/>
      </c>
      <c r="BO37" s="15">
        <f>IF($D37=BO$1,$R37,IF($E37=BO$1,$S37,BO36))</f>
        <v/>
      </c>
      <c r="BP37" s="15">
        <f>IF($D37=BP$1,$R37,IF($E37=BP$1,$S37,BP36))</f>
        <v/>
      </c>
      <c r="BQ37" s="15">
        <f>IF($D37=BQ$1,$R37,IF($E37=BQ$1,$S37,BQ36))</f>
        <v/>
      </c>
      <c r="BR37" s="15">
        <f>IF($D37=BR$1,$R37,IF($E37=BR$1,$S37,BR36))</f>
        <v/>
      </c>
      <c r="BS37" s="15">
        <f>IF($D37=BS$1,$R37,IF($E37=BS$1,$S37,BS36))</f>
        <v/>
      </c>
      <c r="BT37" s="15">
        <f>IF($D37=BT$1,$R37,IF($E37=BT$1,$S37,BT36))</f>
        <v/>
      </c>
      <c r="BU37" s="15">
        <f>IF($D37=BU$1,$R37,IF($E37=BU$1,$S37,BU36))</f>
        <v/>
      </c>
      <c r="BV37" s="15">
        <f>IF($D37=BV$1,$R37,IF($E37=BV$1,$S37,BV36))</f>
        <v/>
      </c>
      <c r="BW37" s="15">
        <f>IF($D37=BW$1,$R37,IF($E37=BW$1,$S37,BW36))</f>
        <v/>
      </c>
      <c r="BX37" s="15">
        <f>IF($D37=BX$1,$R37,IF($E37=BX$1,$S37,BX36))</f>
        <v/>
      </c>
      <c r="BY37" s="15">
        <f>IF($D37=BY$1,$R37,IF($E37=BY$1,$S37,BY36))</f>
        <v/>
      </c>
      <c r="BZ37" s="15">
        <f>IF($D37=BZ$1,$R37,IF($E37=BZ$1,$S37,BZ36))</f>
        <v/>
      </c>
    </row>
    <row r="38" ht="15" customHeight="1">
      <c r="A38" s="7">
        <f>Fixture!A37</f>
        <v/>
      </c>
      <c r="B38" s="7">
        <f>Fixture!B37</f>
        <v/>
      </c>
      <c r="C38" s="7">
        <f>Fixture!C37</f>
        <v/>
      </c>
      <c r="D38" s="7">
        <f>Fixture!E37</f>
        <v/>
      </c>
      <c r="E38" s="7">
        <f>Fixture!F37</f>
        <v/>
      </c>
      <c r="F38" s="7">
        <f>Fixture!J37</f>
        <v/>
      </c>
      <c r="G38" s="7">
        <f>Fixture!K37</f>
        <v/>
      </c>
      <c r="H38" s="7">
        <f>IF(ISNUMBER(Resultados!B37),1,0)</f>
        <v/>
      </c>
      <c r="I38" s="7">
        <f>IF($H38=1,Resultados!B37,0)</f>
        <v/>
      </c>
      <c r="J38" s="7">
        <f>IF($H38=1,Resultados!C37,0)</f>
        <v/>
      </c>
      <c r="K38" s="12">
        <f>IFERROR(INDEX($AE37:$BZ37,MATCH($D38,$AE$1:$BZ$1,0)),"")</f>
        <v/>
      </c>
      <c r="L38" s="12">
        <f>IFERROR(INDEX($AE37:$BZ37,MATCH($E38,$AE$1:$BZ$1,0)),"")</f>
        <v/>
      </c>
      <c r="M38" s="12">
        <f>IF(OR($K38="",$L38=""),"",($K38+100*$F38)-($L38+100*$G38))</f>
        <v/>
      </c>
      <c r="N38" s="13">
        <f>IF($M38="","",1/(1+10^(-$M38/400)))</f>
        <v/>
      </c>
      <c r="O38" s="7">
        <f>IF(OR($H38=0,$N38=""),"",IF($I38&gt;$J38,1,IF($I38=$J38,0.5,0)))</f>
        <v/>
      </c>
      <c r="P38" s="14">
        <f>IF($O38="","",IF(ABS($I38-$J38)&lt;=1,1,IF(ABS($I38-$J38)=2,1.5,IF(ABS($I38-$J38)=3,1.75,1.75+(ABS($I38-$J38)-3)/8))))</f>
        <v/>
      </c>
      <c r="Q38" s="14">
        <f>IF($O38="",0,Equipos!$O$4*$P38*($O38-$N38))</f>
        <v/>
      </c>
      <c r="R38" s="12">
        <f>IF($K38="","",$K38+$Q38)</f>
        <v/>
      </c>
      <c r="S38" s="12">
        <f>IF($L38="","",$L38-$Q38)</f>
        <v/>
      </c>
      <c r="T38" s="14">
        <f>IF($M38="","",Equipos!$O$3*$M38)</f>
        <v/>
      </c>
      <c r="U38" s="14">
        <f>IFERROR(VLOOKUP($D38,Equipos!$A:$H,6,0),"")</f>
        <v/>
      </c>
      <c r="V38" s="14">
        <f>IFERROR(VLOOKUP($D38,Equipos!$A:$H,7,0),"")</f>
        <v/>
      </c>
      <c r="W38" s="14">
        <f>IFERROR(VLOOKUP($E38,Equipos!$A:$H,6,0),"")</f>
        <v/>
      </c>
      <c r="X38" s="14">
        <f>IFERROR(VLOOKUP($E38,Equipos!$A:$H,7,0),"")</f>
        <v/>
      </c>
      <c r="Y38" s="14">
        <f>IF(OR($U38="",$W38=""),"",MIN(3.6,MAX(1.8,Equipos!$O$2*SQRT($U38*$W38*$V38*$X38))))</f>
        <v/>
      </c>
      <c r="Z38" s="14">
        <f>IF(OR($Y38="",$T38=""),"",MAX(0.2,($Y38+$T38)/2))</f>
        <v/>
      </c>
      <c r="AA38" s="14">
        <f>IF(OR($Y38="",$T38=""),"",MAX(0.2,($Y38-$T38)/2))</f>
        <v/>
      </c>
      <c r="AE38" s="15">
        <f>IF($D38=AE$1,$R38,IF($E38=AE$1,$S38,AE37))</f>
        <v/>
      </c>
      <c r="AF38" s="15">
        <f>IF($D38=AF$1,$R38,IF($E38=AF$1,$S38,AF37))</f>
        <v/>
      </c>
      <c r="AG38" s="15">
        <f>IF($D38=AG$1,$R38,IF($E38=AG$1,$S38,AG37))</f>
        <v/>
      </c>
      <c r="AH38" s="15">
        <f>IF($D38=AH$1,$R38,IF($E38=AH$1,$S38,AH37))</f>
        <v/>
      </c>
      <c r="AI38" s="15">
        <f>IF($D38=AI$1,$R38,IF($E38=AI$1,$S38,AI37))</f>
        <v/>
      </c>
      <c r="AJ38" s="15">
        <f>IF($D38=AJ$1,$R38,IF($E38=AJ$1,$S38,AJ37))</f>
        <v/>
      </c>
      <c r="AK38" s="15">
        <f>IF($D38=AK$1,$R38,IF($E38=AK$1,$S38,AK37))</f>
        <v/>
      </c>
      <c r="AL38" s="15">
        <f>IF($D38=AL$1,$R38,IF($E38=AL$1,$S38,AL37))</f>
        <v/>
      </c>
      <c r="AM38" s="15">
        <f>IF($D38=AM$1,$R38,IF($E38=AM$1,$S38,AM37))</f>
        <v/>
      </c>
      <c r="AN38" s="15">
        <f>IF($D38=AN$1,$R38,IF($E38=AN$1,$S38,AN37))</f>
        <v/>
      </c>
      <c r="AO38" s="15">
        <f>IF($D38=AO$1,$R38,IF($E38=AO$1,$S38,AO37))</f>
        <v/>
      </c>
      <c r="AP38" s="15">
        <f>IF($D38=AP$1,$R38,IF($E38=AP$1,$S38,AP37))</f>
        <v/>
      </c>
      <c r="AQ38" s="15">
        <f>IF($D38=AQ$1,$R38,IF($E38=AQ$1,$S38,AQ37))</f>
        <v/>
      </c>
      <c r="AR38" s="15">
        <f>IF($D38=AR$1,$R38,IF($E38=AR$1,$S38,AR37))</f>
        <v/>
      </c>
      <c r="AS38" s="15">
        <f>IF($D38=AS$1,$R38,IF($E38=AS$1,$S38,AS37))</f>
        <v/>
      </c>
      <c r="AT38" s="15">
        <f>IF($D38=AT$1,$R38,IF($E38=AT$1,$S38,AT37))</f>
        <v/>
      </c>
      <c r="AU38" s="15">
        <f>IF($D38=AU$1,$R38,IF($E38=AU$1,$S38,AU37))</f>
        <v/>
      </c>
      <c r="AV38" s="15">
        <f>IF($D38=AV$1,$R38,IF($E38=AV$1,$S38,AV37))</f>
        <v/>
      </c>
      <c r="AW38" s="15">
        <f>IF($D38=AW$1,$R38,IF($E38=AW$1,$S38,AW37))</f>
        <v/>
      </c>
      <c r="AX38" s="15">
        <f>IF($D38=AX$1,$R38,IF($E38=AX$1,$S38,AX37))</f>
        <v/>
      </c>
      <c r="AY38" s="15">
        <f>IF($D38=AY$1,$R38,IF($E38=AY$1,$S38,AY37))</f>
        <v/>
      </c>
      <c r="AZ38" s="15">
        <f>IF($D38=AZ$1,$R38,IF($E38=AZ$1,$S38,AZ37))</f>
        <v/>
      </c>
      <c r="BA38" s="15">
        <f>IF($D38=BA$1,$R38,IF($E38=BA$1,$S38,BA37))</f>
        <v/>
      </c>
      <c r="BB38" s="15">
        <f>IF($D38=BB$1,$R38,IF($E38=BB$1,$S38,BB37))</f>
        <v/>
      </c>
      <c r="BC38" s="15">
        <f>IF($D38=BC$1,$R38,IF($E38=BC$1,$S38,BC37))</f>
        <v/>
      </c>
      <c r="BD38" s="15">
        <f>IF($D38=BD$1,$R38,IF($E38=BD$1,$S38,BD37))</f>
        <v/>
      </c>
      <c r="BE38" s="15">
        <f>IF($D38=BE$1,$R38,IF($E38=BE$1,$S38,BE37))</f>
        <v/>
      </c>
      <c r="BF38" s="15">
        <f>IF($D38=BF$1,$R38,IF($E38=BF$1,$S38,BF37))</f>
        <v/>
      </c>
      <c r="BG38" s="15">
        <f>IF($D38=BG$1,$R38,IF($E38=BG$1,$S38,BG37))</f>
        <v/>
      </c>
      <c r="BH38" s="15">
        <f>IF($D38=BH$1,$R38,IF($E38=BH$1,$S38,BH37))</f>
        <v/>
      </c>
      <c r="BI38" s="15">
        <f>IF($D38=BI$1,$R38,IF($E38=BI$1,$S38,BI37))</f>
        <v/>
      </c>
      <c r="BJ38" s="15">
        <f>IF($D38=BJ$1,$R38,IF($E38=BJ$1,$S38,BJ37))</f>
        <v/>
      </c>
      <c r="BK38" s="15">
        <f>IF($D38=BK$1,$R38,IF($E38=BK$1,$S38,BK37))</f>
        <v/>
      </c>
      <c r="BL38" s="15">
        <f>IF($D38=BL$1,$R38,IF($E38=BL$1,$S38,BL37))</f>
        <v/>
      </c>
      <c r="BM38" s="15">
        <f>IF($D38=BM$1,$R38,IF($E38=BM$1,$S38,BM37))</f>
        <v/>
      </c>
      <c r="BN38" s="15">
        <f>IF($D38=BN$1,$R38,IF($E38=BN$1,$S38,BN37))</f>
        <v/>
      </c>
      <c r="BO38" s="15">
        <f>IF($D38=BO$1,$R38,IF($E38=BO$1,$S38,BO37))</f>
        <v/>
      </c>
      <c r="BP38" s="15">
        <f>IF($D38=BP$1,$R38,IF($E38=BP$1,$S38,BP37))</f>
        <v/>
      </c>
      <c r="BQ38" s="15">
        <f>IF($D38=BQ$1,$R38,IF($E38=BQ$1,$S38,BQ37))</f>
        <v/>
      </c>
      <c r="BR38" s="15">
        <f>IF($D38=BR$1,$R38,IF($E38=BR$1,$S38,BR37))</f>
        <v/>
      </c>
      <c r="BS38" s="15">
        <f>IF($D38=BS$1,$R38,IF($E38=BS$1,$S38,BS37))</f>
        <v/>
      </c>
      <c r="BT38" s="15">
        <f>IF($D38=BT$1,$R38,IF($E38=BT$1,$S38,BT37))</f>
        <v/>
      </c>
      <c r="BU38" s="15">
        <f>IF($D38=BU$1,$R38,IF($E38=BU$1,$S38,BU37))</f>
        <v/>
      </c>
      <c r="BV38" s="15">
        <f>IF($D38=BV$1,$R38,IF($E38=BV$1,$S38,BV37))</f>
        <v/>
      </c>
      <c r="BW38" s="15">
        <f>IF($D38=BW$1,$R38,IF($E38=BW$1,$S38,BW37))</f>
        <v/>
      </c>
      <c r="BX38" s="15">
        <f>IF($D38=BX$1,$R38,IF($E38=BX$1,$S38,BX37))</f>
        <v/>
      </c>
      <c r="BY38" s="15">
        <f>IF($D38=BY$1,$R38,IF($E38=BY$1,$S38,BY37))</f>
        <v/>
      </c>
      <c r="BZ38" s="15">
        <f>IF($D38=BZ$1,$R38,IF($E38=BZ$1,$S38,BZ37))</f>
        <v/>
      </c>
    </row>
    <row r="39" ht="15" customHeight="1">
      <c r="A39" s="7">
        <f>Fixture!A38</f>
        <v/>
      </c>
      <c r="B39" s="7">
        <f>Fixture!B38</f>
        <v/>
      </c>
      <c r="C39" s="7">
        <f>Fixture!C38</f>
        <v/>
      </c>
      <c r="D39" s="7">
        <f>Fixture!E38</f>
        <v/>
      </c>
      <c r="E39" s="7">
        <f>Fixture!F38</f>
        <v/>
      </c>
      <c r="F39" s="7">
        <f>Fixture!J38</f>
        <v/>
      </c>
      <c r="G39" s="7">
        <f>Fixture!K38</f>
        <v/>
      </c>
      <c r="H39" s="7">
        <f>IF(ISNUMBER(Resultados!B38),1,0)</f>
        <v/>
      </c>
      <c r="I39" s="7">
        <f>IF($H39=1,Resultados!B38,0)</f>
        <v/>
      </c>
      <c r="J39" s="7">
        <f>IF($H39=1,Resultados!C38,0)</f>
        <v/>
      </c>
      <c r="K39" s="12">
        <f>IFERROR(INDEX($AE38:$BZ38,MATCH($D39,$AE$1:$BZ$1,0)),"")</f>
        <v/>
      </c>
      <c r="L39" s="12">
        <f>IFERROR(INDEX($AE38:$BZ38,MATCH($E39,$AE$1:$BZ$1,0)),"")</f>
        <v/>
      </c>
      <c r="M39" s="12">
        <f>IF(OR($K39="",$L39=""),"",($K39+100*$F39)-($L39+100*$G39))</f>
        <v/>
      </c>
      <c r="N39" s="13">
        <f>IF($M39="","",1/(1+10^(-$M39/400)))</f>
        <v/>
      </c>
      <c r="O39" s="7">
        <f>IF(OR($H39=0,$N39=""),"",IF($I39&gt;$J39,1,IF($I39=$J39,0.5,0)))</f>
        <v/>
      </c>
      <c r="P39" s="14">
        <f>IF($O39="","",IF(ABS($I39-$J39)&lt;=1,1,IF(ABS($I39-$J39)=2,1.5,IF(ABS($I39-$J39)=3,1.75,1.75+(ABS($I39-$J39)-3)/8))))</f>
        <v/>
      </c>
      <c r="Q39" s="14">
        <f>IF($O39="",0,Equipos!$O$4*$P39*($O39-$N39))</f>
        <v/>
      </c>
      <c r="R39" s="12">
        <f>IF($K39="","",$K39+$Q39)</f>
        <v/>
      </c>
      <c r="S39" s="12">
        <f>IF($L39="","",$L39-$Q39)</f>
        <v/>
      </c>
      <c r="T39" s="14">
        <f>IF($M39="","",Equipos!$O$3*$M39)</f>
        <v/>
      </c>
      <c r="U39" s="14">
        <f>IFERROR(VLOOKUP($D39,Equipos!$A:$H,6,0),"")</f>
        <v/>
      </c>
      <c r="V39" s="14">
        <f>IFERROR(VLOOKUP($D39,Equipos!$A:$H,7,0),"")</f>
        <v/>
      </c>
      <c r="W39" s="14">
        <f>IFERROR(VLOOKUP($E39,Equipos!$A:$H,6,0),"")</f>
        <v/>
      </c>
      <c r="X39" s="14">
        <f>IFERROR(VLOOKUP($E39,Equipos!$A:$H,7,0),"")</f>
        <v/>
      </c>
      <c r="Y39" s="14">
        <f>IF(OR($U39="",$W39=""),"",MIN(3.6,MAX(1.8,Equipos!$O$2*SQRT($U39*$W39*$V39*$X39))))</f>
        <v/>
      </c>
      <c r="Z39" s="14">
        <f>IF(OR($Y39="",$T39=""),"",MAX(0.2,($Y39+$T39)/2))</f>
        <v/>
      </c>
      <c r="AA39" s="14">
        <f>IF(OR($Y39="",$T39=""),"",MAX(0.2,($Y39-$T39)/2))</f>
        <v/>
      </c>
      <c r="AE39" s="15">
        <f>IF($D39=AE$1,$R39,IF($E39=AE$1,$S39,AE38))</f>
        <v/>
      </c>
      <c r="AF39" s="15">
        <f>IF($D39=AF$1,$R39,IF($E39=AF$1,$S39,AF38))</f>
        <v/>
      </c>
      <c r="AG39" s="15">
        <f>IF($D39=AG$1,$R39,IF($E39=AG$1,$S39,AG38))</f>
        <v/>
      </c>
      <c r="AH39" s="15">
        <f>IF($D39=AH$1,$R39,IF($E39=AH$1,$S39,AH38))</f>
        <v/>
      </c>
      <c r="AI39" s="15">
        <f>IF($D39=AI$1,$R39,IF($E39=AI$1,$S39,AI38))</f>
        <v/>
      </c>
      <c r="AJ39" s="15">
        <f>IF($D39=AJ$1,$R39,IF($E39=AJ$1,$S39,AJ38))</f>
        <v/>
      </c>
      <c r="AK39" s="15">
        <f>IF($D39=AK$1,$R39,IF($E39=AK$1,$S39,AK38))</f>
        <v/>
      </c>
      <c r="AL39" s="15">
        <f>IF($D39=AL$1,$R39,IF($E39=AL$1,$S39,AL38))</f>
        <v/>
      </c>
      <c r="AM39" s="15">
        <f>IF($D39=AM$1,$R39,IF($E39=AM$1,$S39,AM38))</f>
        <v/>
      </c>
      <c r="AN39" s="15">
        <f>IF($D39=AN$1,$R39,IF($E39=AN$1,$S39,AN38))</f>
        <v/>
      </c>
      <c r="AO39" s="15">
        <f>IF($D39=AO$1,$R39,IF($E39=AO$1,$S39,AO38))</f>
        <v/>
      </c>
      <c r="AP39" s="15">
        <f>IF($D39=AP$1,$R39,IF($E39=AP$1,$S39,AP38))</f>
        <v/>
      </c>
      <c r="AQ39" s="15">
        <f>IF($D39=AQ$1,$R39,IF($E39=AQ$1,$S39,AQ38))</f>
        <v/>
      </c>
      <c r="AR39" s="15">
        <f>IF($D39=AR$1,$R39,IF($E39=AR$1,$S39,AR38))</f>
        <v/>
      </c>
      <c r="AS39" s="15">
        <f>IF($D39=AS$1,$R39,IF($E39=AS$1,$S39,AS38))</f>
        <v/>
      </c>
      <c r="AT39" s="15">
        <f>IF($D39=AT$1,$R39,IF($E39=AT$1,$S39,AT38))</f>
        <v/>
      </c>
      <c r="AU39" s="15">
        <f>IF($D39=AU$1,$R39,IF($E39=AU$1,$S39,AU38))</f>
        <v/>
      </c>
      <c r="AV39" s="15">
        <f>IF($D39=AV$1,$R39,IF($E39=AV$1,$S39,AV38))</f>
        <v/>
      </c>
      <c r="AW39" s="15">
        <f>IF($D39=AW$1,$R39,IF($E39=AW$1,$S39,AW38))</f>
        <v/>
      </c>
      <c r="AX39" s="15">
        <f>IF($D39=AX$1,$R39,IF($E39=AX$1,$S39,AX38))</f>
        <v/>
      </c>
      <c r="AY39" s="15">
        <f>IF($D39=AY$1,$R39,IF($E39=AY$1,$S39,AY38))</f>
        <v/>
      </c>
      <c r="AZ39" s="15">
        <f>IF($D39=AZ$1,$R39,IF($E39=AZ$1,$S39,AZ38))</f>
        <v/>
      </c>
      <c r="BA39" s="15">
        <f>IF($D39=BA$1,$R39,IF($E39=BA$1,$S39,BA38))</f>
        <v/>
      </c>
      <c r="BB39" s="15">
        <f>IF($D39=BB$1,$R39,IF($E39=BB$1,$S39,BB38))</f>
        <v/>
      </c>
      <c r="BC39" s="15">
        <f>IF($D39=BC$1,$R39,IF($E39=BC$1,$S39,BC38))</f>
        <v/>
      </c>
      <c r="BD39" s="15">
        <f>IF($D39=BD$1,$R39,IF($E39=BD$1,$S39,BD38))</f>
        <v/>
      </c>
      <c r="BE39" s="15">
        <f>IF($D39=BE$1,$R39,IF($E39=BE$1,$S39,BE38))</f>
        <v/>
      </c>
      <c r="BF39" s="15">
        <f>IF($D39=BF$1,$R39,IF($E39=BF$1,$S39,BF38))</f>
        <v/>
      </c>
      <c r="BG39" s="15">
        <f>IF($D39=BG$1,$R39,IF($E39=BG$1,$S39,BG38))</f>
        <v/>
      </c>
      <c r="BH39" s="15">
        <f>IF($D39=BH$1,$R39,IF($E39=BH$1,$S39,BH38))</f>
        <v/>
      </c>
      <c r="BI39" s="15">
        <f>IF($D39=BI$1,$R39,IF($E39=BI$1,$S39,BI38))</f>
        <v/>
      </c>
      <c r="BJ39" s="15">
        <f>IF($D39=BJ$1,$R39,IF($E39=BJ$1,$S39,BJ38))</f>
        <v/>
      </c>
      <c r="BK39" s="15">
        <f>IF($D39=BK$1,$R39,IF($E39=BK$1,$S39,BK38))</f>
        <v/>
      </c>
      <c r="BL39" s="15">
        <f>IF($D39=BL$1,$R39,IF($E39=BL$1,$S39,BL38))</f>
        <v/>
      </c>
      <c r="BM39" s="15">
        <f>IF($D39=BM$1,$R39,IF($E39=BM$1,$S39,BM38))</f>
        <v/>
      </c>
      <c r="BN39" s="15">
        <f>IF($D39=BN$1,$R39,IF($E39=BN$1,$S39,BN38))</f>
        <v/>
      </c>
      <c r="BO39" s="15">
        <f>IF($D39=BO$1,$R39,IF($E39=BO$1,$S39,BO38))</f>
        <v/>
      </c>
      <c r="BP39" s="15">
        <f>IF($D39=BP$1,$R39,IF($E39=BP$1,$S39,BP38))</f>
        <v/>
      </c>
      <c r="BQ39" s="15">
        <f>IF($D39=BQ$1,$R39,IF($E39=BQ$1,$S39,BQ38))</f>
        <v/>
      </c>
      <c r="BR39" s="15">
        <f>IF($D39=BR$1,$R39,IF($E39=BR$1,$S39,BR38))</f>
        <v/>
      </c>
      <c r="BS39" s="15">
        <f>IF($D39=BS$1,$R39,IF($E39=BS$1,$S39,BS38))</f>
        <v/>
      </c>
      <c r="BT39" s="15">
        <f>IF($D39=BT$1,$R39,IF($E39=BT$1,$S39,BT38))</f>
        <v/>
      </c>
      <c r="BU39" s="15">
        <f>IF($D39=BU$1,$R39,IF($E39=BU$1,$S39,BU38))</f>
        <v/>
      </c>
      <c r="BV39" s="15">
        <f>IF($D39=BV$1,$R39,IF($E39=BV$1,$S39,BV38))</f>
        <v/>
      </c>
      <c r="BW39" s="15">
        <f>IF($D39=BW$1,$R39,IF($E39=BW$1,$S39,BW38))</f>
        <v/>
      </c>
      <c r="BX39" s="15">
        <f>IF($D39=BX$1,$R39,IF($E39=BX$1,$S39,BX38))</f>
        <v/>
      </c>
      <c r="BY39" s="15">
        <f>IF($D39=BY$1,$R39,IF($E39=BY$1,$S39,BY38))</f>
        <v/>
      </c>
      <c r="BZ39" s="15">
        <f>IF($D39=BZ$1,$R39,IF($E39=BZ$1,$S39,BZ38))</f>
        <v/>
      </c>
    </row>
    <row r="40" ht="15" customHeight="1">
      <c r="A40" s="7">
        <f>Fixture!A39</f>
        <v/>
      </c>
      <c r="B40" s="7">
        <f>Fixture!B39</f>
        <v/>
      </c>
      <c r="C40" s="7">
        <f>Fixture!C39</f>
        <v/>
      </c>
      <c r="D40" s="7">
        <f>Fixture!E39</f>
        <v/>
      </c>
      <c r="E40" s="7">
        <f>Fixture!F39</f>
        <v/>
      </c>
      <c r="F40" s="7">
        <f>Fixture!J39</f>
        <v/>
      </c>
      <c r="G40" s="7">
        <f>Fixture!K39</f>
        <v/>
      </c>
      <c r="H40" s="7">
        <f>IF(ISNUMBER(Resultados!B39),1,0)</f>
        <v/>
      </c>
      <c r="I40" s="7">
        <f>IF($H40=1,Resultados!B39,0)</f>
        <v/>
      </c>
      <c r="J40" s="7">
        <f>IF($H40=1,Resultados!C39,0)</f>
        <v/>
      </c>
      <c r="K40" s="12">
        <f>IFERROR(INDEX($AE39:$BZ39,MATCH($D40,$AE$1:$BZ$1,0)),"")</f>
        <v/>
      </c>
      <c r="L40" s="12">
        <f>IFERROR(INDEX($AE39:$BZ39,MATCH($E40,$AE$1:$BZ$1,0)),"")</f>
        <v/>
      </c>
      <c r="M40" s="12">
        <f>IF(OR($K40="",$L40=""),"",($K40+100*$F40)-($L40+100*$G40))</f>
        <v/>
      </c>
      <c r="N40" s="13">
        <f>IF($M40="","",1/(1+10^(-$M40/400)))</f>
        <v/>
      </c>
      <c r="O40" s="7">
        <f>IF(OR($H40=0,$N40=""),"",IF($I40&gt;$J40,1,IF($I40=$J40,0.5,0)))</f>
        <v/>
      </c>
      <c r="P40" s="14">
        <f>IF($O40="","",IF(ABS($I40-$J40)&lt;=1,1,IF(ABS($I40-$J40)=2,1.5,IF(ABS($I40-$J40)=3,1.75,1.75+(ABS($I40-$J40)-3)/8))))</f>
        <v/>
      </c>
      <c r="Q40" s="14">
        <f>IF($O40="",0,Equipos!$O$4*$P40*($O40-$N40))</f>
        <v/>
      </c>
      <c r="R40" s="12">
        <f>IF($K40="","",$K40+$Q40)</f>
        <v/>
      </c>
      <c r="S40" s="12">
        <f>IF($L40="","",$L40-$Q40)</f>
        <v/>
      </c>
      <c r="T40" s="14">
        <f>IF($M40="","",Equipos!$O$3*$M40)</f>
        <v/>
      </c>
      <c r="U40" s="14">
        <f>IFERROR(VLOOKUP($D40,Equipos!$A:$H,6,0),"")</f>
        <v/>
      </c>
      <c r="V40" s="14">
        <f>IFERROR(VLOOKUP($D40,Equipos!$A:$H,7,0),"")</f>
        <v/>
      </c>
      <c r="W40" s="14">
        <f>IFERROR(VLOOKUP($E40,Equipos!$A:$H,6,0),"")</f>
        <v/>
      </c>
      <c r="X40" s="14">
        <f>IFERROR(VLOOKUP($E40,Equipos!$A:$H,7,0),"")</f>
        <v/>
      </c>
      <c r="Y40" s="14">
        <f>IF(OR($U40="",$W40=""),"",MIN(3.6,MAX(1.8,Equipos!$O$2*SQRT($U40*$W40*$V40*$X40))))</f>
        <v/>
      </c>
      <c r="Z40" s="14">
        <f>IF(OR($Y40="",$T40=""),"",MAX(0.2,($Y40+$T40)/2))</f>
        <v/>
      </c>
      <c r="AA40" s="14">
        <f>IF(OR($Y40="",$T40=""),"",MAX(0.2,($Y40-$T40)/2))</f>
        <v/>
      </c>
      <c r="AE40" s="15">
        <f>IF($D40=AE$1,$R40,IF($E40=AE$1,$S40,AE39))</f>
        <v/>
      </c>
      <c r="AF40" s="15">
        <f>IF($D40=AF$1,$R40,IF($E40=AF$1,$S40,AF39))</f>
        <v/>
      </c>
      <c r="AG40" s="15">
        <f>IF($D40=AG$1,$R40,IF($E40=AG$1,$S40,AG39))</f>
        <v/>
      </c>
      <c r="AH40" s="15">
        <f>IF($D40=AH$1,$R40,IF($E40=AH$1,$S40,AH39))</f>
        <v/>
      </c>
      <c r="AI40" s="15">
        <f>IF($D40=AI$1,$R40,IF($E40=AI$1,$S40,AI39))</f>
        <v/>
      </c>
      <c r="AJ40" s="15">
        <f>IF($D40=AJ$1,$R40,IF($E40=AJ$1,$S40,AJ39))</f>
        <v/>
      </c>
      <c r="AK40" s="15">
        <f>IF($D40=AK$1,$R40,IF($E40=AK$1,$S40,AK39))</f>
        <v/>
      </c>
      <c r="AL40" s="15">
        <f>IF($D40=AL$1,$R40,IF($E40=AL$1,$S40,AL39))</f>
        <v/>
      </c>
      <c r="AM40" s="15">
        <f>IF($D40=AM$1,$R40,IF($E40=AM$1,$S40,AM39))</f>
        <v/>
      </c>
      <c r="AN40" s="15">
        <f>IF($D40=AN$1,$R40,IF($E40=AN$1,$S40,AN39))</f>
        <v/>
      </c>
      <c r="AO40" s="15">
        <f>IF($D40=AO$1,$R40,IF($E40=AO$1,$S40,AO39))</f>
        <v/>
      </c>
      <c r="AP40" s="15">
        <f>IF($D40=AP$1,$R40,IF($E40=AP$1,$S40,AP39))</f>
        <v/>
      </c>
      <c r="AQ40" s="15">
        <f>IF($D40=AQ$1,$R40,IF($E40=AQ$1,$S40,AQ39))</f>
        <v/>
      </c>
      <c r="AR40" s="15">
        <f>IF($D40=AR$1,$R40,IF($E40=AR$1,$S40,AR39))</f>
        <v/>
      </c>
      <c r="AS40" s="15">
        <f>IF($D40=AS$1,$R40,IF($E40=AS$1,$S40,AS39))</f>
        <v/>
      </c>
      <c r="AT40" s="15">
        <f>IF($D40=AT$1,$R40,IF($E40=AT$1,$S40,AT39))</f>
        <v/>
      </c>
      <c r="AU40" s="15">
        <f>IF($D40=AU$1,$R40,IF($E40=AU$1,$S40,AU39))</f>
        <v/>
      </c>
      <c r="AV40" s="15">
        <f>IF($D40=AV$1,$R40,IF($E40=AV$1,$S40,AV39))</f>
        <v/>
      </c>
      <c r="AW40" s="15">
        <f>IF($D40=AW$1,$R40,IF($E40=AW$1,$S40,AW39))</f>
        <v/>
      </c>
      <c r="AX40" s="15">
        <f>IF($D40=AX$1,$R40,IF($E40=AX$1,$S40,AX39))</f>
        <v/>
      </c>
      <c r="AY40" s="15">
        <f>IF($D40=AY$1,$R40,IF($E40=AY$1,$S40,AY39))</f>
        <v/>
      </c>
      <c r="AZ40" s="15">
        <f>IF($D40=AZ$1,$R40,IF($E40=AZ$1,$S40,AZ39))</f>
        <v/>
      </c>
      <c r="BA40" s="15">
        <f>IF($D40=BA$1,$R40,IF($E40=BA$1,$S40,BA39))</f>
        <v/>
      </c>
      <c r="BB40" s="15">
        <f>IF($D40=BB$1,$R40,IF($E40=BB$1,$S40,BB39))</f>
        <v/>
      </c>
      <c r="BC40" s="15">
        <f>IF($D40=BC$1,$R40,IF($E40=BC$1,$S40,BC39))</f>
        <v/>
      </c>
      <c r="BD40" s="15">
        <f>IF($D40=BD$1,$R40,IF($E40=BD$1,$S40,BD39))</f>
        <v/>
      </c>
      <c r="BE40" s="15">
        <f>IF($D40=BE$1,$R40,IF($E40=BE$1,$S40,BE39))</f>
        <v/>
      </c>
      <c r="BF40" s="15">
        <f>IF($D40=BF$1,$R40,IF($E40=BF$1,$S40,BF39))</f>
        <v/>
      </c>
      <c r="BG40" s="15">
        <f>IF($D40=BG$1,$R40,IF($E40=BG$1,$S40,BG39))</f>
        <v/>
      </c>
      <c r="BH40" s="15">
        <f>IF($D40=BH$1,$R40,IF($E40=BH$1,$S40,BH39))</f>
        <v/>
      </c>
      <c r="BI40" s="15">
        <f>IF($D40=BI$1,$R40,IF($E40=BI$1,$S40,BI39))</f>
        <v/>
      </c>
      <c r="BJ40" s="15">
        <f>IF($D40=BJ$1,$R40,IF($E40=BJ$1,$S40,BJ39))</f>
        <v/>
      </c>
      <c r="BK40" s="15">
        <f>IF($D40=BK$1,$R40,IF($E40=BK$1,$S40,BK39))</f>
        <v/>
      </c>
      <c r="BL40" s="15">
        <f>IF($D40=BL$1,$R40,IF($E40=BL$1,$S40,BL39))</f>
        <v/>
      </c>
      <c r="BM40" s="15">
        <f>IF($D40=BM$1,$R40,IF($E40=BM$1,$S40,BM39))</f>
        <v/>
      </c>
      <c r="BN40" s="15">
        <f>IF($D40=BN$1,$R40,IF($E40=BN$1,$S40,BN39))</f>
        <v/>
      </c>
      <c r="BO40" s="15">
        <f>IF($D40=BO$1,$R40,IF($E40=BO$1,$S40,BO39))</f>
        <v/>
      </c>
      <c r="BP40" s="15">
        <f>IF($D40=BP$1,$R40,IF($E40=BP$1,$S40,BP39))</f>
        <v/>
      </c>
      <c r="BQ40" s="15">
        <f>IF($D40=BQ$1,$R40,IF($E40=BQ$1,$S40,BQ39))</f>
        <v/>
      </c>
      <c r="BR40" s="15">
        <f>IF($D40=BR$1,$R40,IF($E40=BR$1,$S40,BR39))</f>
        <v/>
      </c>
      <c r="BS40" s="15">
        <f>IF($D40=BS$1,$R40,IF($E40=BS$1,$S40,BS39))</f>
        <v/>
      </c>
      <c r="BT40" s="15">
        <f>IF($D40=BT$1,$R40,IF($E40=BT$1,$S40,BT39))</f>
        <v/>
      </c>
      <c r="BU40" s="15">
        <f>IF($D40=BU$1,$R40,IF($E40=BU$1,$S40,BU39))</f>
        <v/>
      </c>
      <c r="BV40" s="15">
        <f>IF($D40=BV$1,$R40,IF($E40=BV$1,$S40,BV39))</f>
        <v/>
      </c>
      <c r="BW40" s="15">
        <f>IF($D40=BW$1,$R40,IF($E40=BW$1,$S40,BW39))</f>
        <v/>
      </c>
      <c r="BX40" s="15">
        <f>IF($D40=BX$1,$R40,IF($E40=BX$1,$S40,BX39))</f>
        <v/>
      </c>
      <c r="BY40" s="15">
        <f>IF($D40=BY$1,$R40,IF($E40=BY$1,$S40,BY39))</f>
        <v/>
      </c>
      <c r="BZ40" s="15">
        <f>IF($D40=BZ$1,$R40,IF($E40=BZ$1,$S40,BZ39))</f>
        <v/>
      </c>
    </row>
    <row r="41" ht="15" customHeight="1">
      <c r="A41" s="7">
        <f>Fixture!A40</f>
        <v/>
      </c>
      <c r="B41" s="7">
        <f>Fixture!B40</f>
        <v/>
      </c>
      <c r="C41" s="7">
        <f>Fixture!C40</f>
        <v/>
      </c>
      <c r="D41" s="7">
        <f>Fixture!E40</f>
        <v/>
      </c>
      <c r="E41" s="7">
        <f>Fixture!F40</f>
        <v/>
      </c>
      <c r="F41" s="7">
        <f>Fixture!J40</f>
        <v/>
      </c>
      <c r="G41" s="7">
        <f>Fixture!K40</f>
        <v/>
      </c>
      <c r="H41" s="7">
        <f>IF(ISNUMBER(Resultados!B40),1,0)</f>
        <v/>
      </c>
      <c r="I41" s="7">
        <f>IF($H41=1,Resultados!B40,0)</f>
        <v/>
      </c>
      <c r="J41" s="7">
        <f>IF($H41=1,Resultados!C40,0)</f>
        <v/>
      </c>
      <c r="K41" s="12">
        <f>IFERROR(INDEX($AE40:$BZ40,MATCH($D41,$AE$1:$BZ$1,0)),"")</f>
        <v/>
      </c>
      <c r="L41" s="12">
        <f>IFERROR(INDEX($AE40:$BZ40,MATCH($E41,$AE$1:$BZ$1,0)),"")</f>
        <v/>
      </c>
      <c r="M41" s="12">
        <f>IF(OR($K41="",$L41=""),"",($K41+100*$F41)-($L41+100*$G41))</f>
        <v/>
      </c>
      <c r="N41" s="13">
        <f>IF($M41="","",1/(1+10^(-$M41/400)))</f>
        <v/>
      </c>
      <c r="O41" s="7">
        <f>IF(OR($H41=0,$N41=""),"",IF($I41&gt;$J41,1,IF($I41=$J41,0.5,0)))</f>
        <v/>
      </c>
      <c r="P41" s="14">
        <f>IF($O41="","",IF(ABS($I41-$J41)&lt;=1,1,IF(ABS($I41-$J41)=2,1.5,IF(ABS($I41-$J41)=3,1.75,1.75+(ABS($I41-$J41)-3)/8))))</f>
        <v/>
      </c>
      <c r="Q41" s="14">
        <f>IF($O41="",0,Equipos!$O$4*$P41*($O41-$N41))</f>
        <v/>
      </c>
      <c r="R41" s="12">
        <f>IF($K41="","",$K41+$Q41)</f>
        <v/>
      </c>
      <c r="S41" s="12">
        <f>IF($L41="","",$L41-$Q41)</f>
        <v/>
      </c>
      <c r="T41" s="14">
        <f>IF($M41="","",Equipos!$O$3*$M41)</f>
        <v/>
      </c>
      <c r="U41" s="14">
        <f>IFERROR(VLOOKUP($D41,Equipos!$A:$H,6,0),"")</f>
        <v/>
      </c>
      <c r="V41" s="14">
        <f>IFERROR(VLOOKUP($D41,Equipos!$A:$H,7,0),"")</f>
        <v/>
      </c>
      <c r="W41" s="14">
        <f>IFERROR(VLOOKUP($E41,Equipos!$A:$H,6,0),"")</f>
        <v/>
      </c>
      <c r="X41" s="14">
        <f>IFERROR(VLOOKUP($E41,Equipos!$A:$H,7,0),"")</f>
        <v/>
      </c>
      <c r="Y41" s="14">
        <f>IF(OR($U41="",$W41=""),"",MIN(3.6,MAX(1.8,Equipos!$O$2*SQRT($U41*$W41*$V41*$X41))))</f>
        <v/>
      </c>
      <c r="Z41" s="14">
        <f>IF(OR($Y41="",$T41=""),"",MAX(0.2,($Y41+$T41)/2))</f>
        <v/>
      </c>
      <c r="AA41" s="14">
        <f>IF(OR($Y41="",$T41=""),"",MAX(0.2,($Y41-$T41)/2))</f>
        <v/>
      </c>
      <c r="AE41" s="15">
        <f>IF($D41=AE$1,$R41,IF($E41=AE$1,$S41,AE40))</f>
        <v/>
      </c>
      <c r="AF41" s="15">
        <f>IF($D41=AF$1,$R41,IF($E41=AF$1,$S41,AF40))</f>
        <v/>
      </c>
      <c r="AG41" s="15">
        <f>IF($D41=AG$1,$R41,IF($E41=AG$1,$S41,AG40))</f>
        <v/>
      </c>
      <c r="AH41" s="15">
        <f>IF($D41=AH$1,$R41,IF($E41=AH$1,$S41,AH40))</f>
        <v/>
      </c>
      <c r="AI41" s="15">
        <f>IF($D41=AI$1,$R41,IF($E41=AI$1,$S41,AI40))</f>
        <v/>
      </c>
      <c r="AJ41" s="15">
        <f>IF($D41=AJ$1,$R41,IF($E41=AJ$1,$S41,AJ40))</f>
        <v/>
      </c>
      <c r="AK41" s="15">
        <f>IF($D41=AK$1,$R41,IF($E41=AK$1,$S41,AK40))</f>
        <v/>
      </c>
      <c r="AL41" s="15">
        <f>IF($D41=AL$1,$R41,IF($E41=AL$1,$S41,AL40))</f>
        <v/>
      </c>
      <c r="AM41" s="15">
        <f>IF($D41=AM$1,$R41,IF($E41=AM$1,$S41,AM40))</f>
        <v/>
      </c>
      <c r="AN41" s="15">
        <f>IF($D41=AN$1,$R41,IF($E41=AN$1,$S41,AN40))</f>
        <v/>
      </c>
      <c r="AO41" s="15">
        <f>IF($D41=AO$1,$R41,IF($E41=AO$1,$S41,AO40))</f>
        <v/>
      </c>
      <c r="AP41" s="15">
        <f>IF($D41=AP$1,$R41,IF($E41=AP$1,$S41,AP40))</f>
        <v/>
      </c>
      <c r="AQ41" s="15">
        <f>IF($D41=AQ$1,$R41,IF($E41=AQ$1,$S41,AQ40))</f>
        <v/>
      </c>
      <c r="AR41" s="15">
        <f>IF($D41=AR$1,$R41,IF($E41=AR$1,$S41,AR40))</f>
        <v/>
      </c>
      <c r="AS41" s="15">
        <f>IF($D41=AS$1,$R41,IF($E41=AS$1,$S41,AS40))</f>
        <v/>
      </c>
      <c r="AT41" s="15">
        <f>IF($D41=AT$1,$R41,IF($E41=AT$1,$S41,AT40))</f>
        <v/>
      </c>
      <c r="AU41" s="15">
        <f>IF($D41=AU$1,$R41,IF($E41=AU$1,$S41,AU40))</f>
        <v/>
      </c>
      <c r="AV41" s="15">
        <f>IF($D41=AV$1,$R41,IF($E41=AV$1,$S41,AV40))</f>
        <v/>
      </c>
      <c r="AW41" s="15">
        <f>IF($D41=AW$1,$R41,IF($E41=AW$1,$S41,AW40))</f>
        <v/>
      </c>
      <c r="AX41" s="15">
        <f>IF($D41=AX$1,$R41,IF($E41=AX$1,$S41,AX40))</f>
        <v/>
      </c>
      <c r="AY41" s="15">
        <f>IF($D41=AY$1,$R41,IF($E41=AY$1,$S41,AY40))</f>
        <v/>
      </c>
      <c r="AZ41" s="15">
        <f>IF($D41=AZ$1,$R41,IF($E41=AZ$1,$S41,AZ40))</f>
        <v/>
      </c>
      <c r="BA41" s="15">
        <f>IF($D41=BA$1,$R41,IF($E41=BA$1,$S41,BA40))</f>
        <v/>
      </c>
      <c r="BB41" s="15">
        <f>IF($D41=BB$1,$R41,IF($E41=BB$1,$S41,BB40))</f>
        <v/>
      </c>
      <c r="BC41" s="15">
        <f>IF($D41=BC$1,$R41,IF($E41=BC$1,$S41,BC40))</f>
        <v/>
      </c>
      <c r="BD41" s="15">
        <f>IF($D41=BD$1,$R41,IF($E41=BD$1,$S41,BD40))</f>
        <v/>
      </c>
      <c r="BE41" s="15">
        <f>IF($D41=BE$1,$R41,IF($E41=BE$1,$S41,BE40))</f>
        <v/>
      </c>
      <c r="BF41" s="15">
        <f>IF($D41=BF$1,$R41,IF($E41=BF$1,$S41,BF40))</f>
        <v/>
      </c>
      <c r="BG41" s="15">
        <f>IF($D41=BG$1,$R41,IF($E41=BG$1,$S41,BG40))</f>
        <v/>
      </c>
      <c r="BH41" s="15">
        <f>IF($D41=BH$1,$R41,IF($E41=BH$1,$S41,BH40))</f>
        <v/>
      </c>
      <c r="BI41" s="15">
        <f>IF($D41=BI$1,$R41,IF($E41=BI$1,$S41,BI40))</f>
        <v/>
      </c>
      <c r="BJ41" s="15">
        <f>IF($D41=BJ$1,$R41,IF($E41=BJ$1,$S41,BJ40))</f>
        <v/>
      </c>
      <c r="BK41" s="15">
        <f>IF($D41=BK$1,$R41,IF($E41=BK$1,$S41,BK40))</f>
        <v/>
      </c>
      <c r="BL41" s="15">
        <f>IF($D41=BL$1,$R41,IF($E41=BL$1,$S41,BL40))</f>
        <v/>
      </c>
      <c r="BM41" s="15">
        <f>IF($D41=BM$1,$R41,IF($E41=BM$1,$S41,BM40))</f>
        <v/>
      </c>
      <c r="BN41" s="15">
        <f>IF($D41=BN$1,$R41,IF($E41=BN$1,$S41,BN40))</f>
        <v/>
      </c>
      <c r="BO41" s="15">
        <f>IF($D41=BO$1,$R41,IF($E41=BO$1,$S41,BO40))</f>
        <v/>
      </c>
      <c r="BP41" s="15">
        <f>IF($D41=BP$1,$R41,IF($E41=BP$1,$S41,BP40))</f>
        <v/>
      </c>
      <c r="BQ41" s="15">
        <f>IF($D41=BQ$1,$R41,IF($E41=BQ$1,$S41,BQ40))</f>
        <v/>
      </c>
      <c r="BR41" s="15">
        <f>IF($D41=BR$1,$R41,IF($E41=BR$1,$S41,BR40))</f>
        <v/>
      </c>
      <c r="BS41" s="15">
        <f>IF($D41=BS$1,$R41,IF($E41=BS$1,$S41,BS40))</f>
        <v/>
      </c>
      <c r="BT41" s="15">
        <f>IF($D41=BT$1,$R41,IF($E41=BT$1,$S41,BT40))</f>
        <v/>
      </c>
      <c r="BU41" s="15">
        <f>IF($D41=BU$1,$R41,IF($E41=BU$1,$S41,BU40))</f>
        <v/>
      </c>
      <c r="BV41" s="15">
        <f>IF($D41=BV$1,$R41,IF($E41=BV$1,$S41,BV40))</f>
        <v/>
      </c>
      <c r="BW41" s="15">
        <f>IF($D41=BW$1,$R41,IF($E41=BW$1,$S41,BW40))</f>
        <v/>
      </c>
      <c r="BX41" s="15">
        <f>IF($D41=BX$1,$R41,IF($E41=BX$1,$S41,BX40))</f>
        <v/>
      </c>
      <c r="BY41" s="15">
        <f>IF($D41=BY$1,$R41,IF($E41=BY$1,$S41,BY40))</f>
        <v/>
      </c>
      <c r="BZ41" s="15">
        <f>IF($D41=BZ$1,$R41,IF($E41=BZ$1,$S41,BZ40))</f>
        <v/>
      </c>
    </row>
    <row r="42" ht="15" customHeight="1">
      <c r="A42" s="7">
        <f>Fixture!A41</f>
        <v/>
      </c>
      <c r="B42" s="7">
        <f>Fixture!B41</f>
        <v/>
      </c>
      <c r="C42" s="7">
        <f>Fixture!C41</f>
        <v/>
      </c>
      <c r="D42" s="7">
        <f>Fixture!E41</f>
        <v/>
      </c>
      <c r="E42" s="7">
        <f>Fixture!F41</f>
        <v/>
      </c>
      <c r="F42" s="7">
        <f>Fixture!J41</f>
        <v/>
      </c>
      <c r="G42" s="7">
        <f>Fixture!K41</f>
        <v/>
      </c>
      <c r="H42" s="7">
        <f>IF(ISNUMBER(Resultados!B41),1,0)</f>
        <v/>
      </c>
      <c r="I42" s="7">
        <f>IF($H42=1,Resultados!B41,0)</f>
        <v/>
      </c>
      <c r="J42" s="7">
        <f>IF($H42=1,Resultados!C41,0)</f>
        <v/>
      </c>
      <c r="K42" s="12">
        <f>IFERROR(INDEX($AE41:$BZ41,MATCH($D42,$AE$1:$BZ$1,0)),"")</f>
        <v/>
      </c>
      <c r="L42" s="12">
        <f>IFERROR(INDEX($AE41:$BZ41,MATCH($E42,$AE$1:$BZ$1,0)),"")</f>
        <v/>
      </c>
      <c r="M42" s="12">
        <f>IF(OR($K42="",$L42=""),"",($K42+100*$F42)-($L42+100*$G42))</f>
        <v/>
      </c>
      <c r="N42" s="13">
        <f>IF($M42="","",1/(1+10^(-$M42/400)))</f>
        <v/>
      </c>
      <c r="O42" s="7">
        <f>IF(OR($H42=0,$N42=""),"",IF($I42&gt;$J42,1,IF($I42=$J42,0.5,0)))</f>
        <v/>
      </c>
      <c r="P42" s="14">
        <f>IF($O42="","",IF(ABS($I42-$J42)&lt;=1,1,IF(ABS($I42-$J42)=2,1.5,IF(ABS($I42-$J42)=3,1.75,1.75+(ABS($I42-$J42)-3)/8))))</f>
        <v/>
      </c>
      <c r="Q42" s="14">
        <f>IF($O42="",0,Equipos!$O$4*$P42*($O42-$N42))</f>
        <v/>
      </c>
      <c r="R42" s="12">
        <f>IF($K42="","",$K42+$Q42)</f>
        <v/>
      </c>
      <c r="S42" s="12">
        <f>IF($L42="","",$L42-$Q42)</f>
        <v/>
      </c>
      <c r="T42" s="14">
        <f>IF($M42="","",Equipos!$O$3*$M42)</f>
        <v/>
      </c>
      <c r="U42" s="14">
        <f>IFERROR(VLOOKUP($D42,Equipos!$A:$H,6,0),"")</f>
        <v/>
      </c>
      <c r="V42" s="14">
        <f>IFERROR(VLOOKUP($D42,Equipos!$A:$H,7,0),"")</f>
        <v/>
      </c>
      <c r="W42" s="14">
        <f>IFERROR(VLOOKUP($E42,Equipos!$A:$H,6,0),"")</f>
        <v/>
      </c>
      <c r="X42" s="14">
        <f>IFERROR(VLOOKUP($E42,Equipos!$A:$H,7,0),"")</f>
        <v/>
      </c>
      <c r="Y42" s="14">
        <f>IF(OR($U42="",$W42=""),"",MIN(3.6,MAX(1.8,Equipos!$O$2*SQRT($U42*$W42*$V42*$X42))))</f>
        <v/>
      </c>
      <c r="Z42" s="14">
        <f>IF(OR($Y42="",$T42=""),"",MAX(0.2,($Y42+$T42)/2))</f>
        <v/>
      </c>
      <c r="AA42" s="14">
        <f>IF(OR($Y42="",$T42=""),"",MAX(0.2,($Y42-$T42)/2))</f>
        <v/>
      </c>
      <c r="AE42" s="15">
        <f>IF($D42=AE$1,$R42,IF($E42=AE$1,$S42,AE41))</f>
        <v/>
      </c>
      <c r="AF42" s="15">
        <f>IF($D42=AF$1,$R42,IF($E42=AF$1,$S42,AF41))</f>
        <v/>
      </c>
      <c r="AG42" s="15">
        <f>IF($D42=AG$1,$R42,IF($E42=AG$1,$S42,AG41))</f>
        <v/>
      </c>
      <c r="AH42" s="15">
        <f>IF($D42=AH$1,$R42,IF($E42=AH$1,$S42,AH41))</f>
        <v/>
      </c>
      <c r="AI42" s="15">
        <f>IF($D42=AI$1,$R42,IF($E42=AI$1,$S42,AI41))</f>
        <v/>
      </c>
      <c r="AJ42" s="15">
        <f>IF($D42=AJ$1,$R42,IF($E42=AJ$1,$S42,AJ41))</f>
        <v/>
      </c>
      <c r="AK42" s="15">
        <f>IF($D42=AK$1,$R42,IF($E42=AK$1,$S42,AK41))</f>
        <v/>
      </c>
      <c r="AL42" s="15">
        <f>IF($D42=AL$1,$R42,IF($E42=AL$1,$S42,AL41))</f>
        <v/>
      </c>
      <c r="AM42" s="15">
        <f>IF($D42=AM$1,$R42,IF($E42=AM$1,$S42,AM41))</f>
        <v/>
      </c>
      <c r="AN42" s="15">
        <f>IF($D42=AN$1,$R42,IF($E42=AN$1,$S42,AN41))</f>
        <v/>
      </c>
      <c r="AO42" s="15">
        <f>IF($D42=AO$1,$R42,IF($E42=AO$1,$S42,AO41))</f>
        <v/>
      </c>
      <c r="AP42" s="15">
        <f>IF($D42=AP$1,$R42,IF($E42=AP$1,$S42,AP41))</f>
        <v/>
      </c>
      <c r="AQ42" s="15">
        <f>IF($D42=AQ$1,$R42,IF($E42=AQ$1,$S42,AQ41))</f>
        <v/>
      </c>
      <c r="AR42" s="15">
        <f>IF($D42=AR$1,$R42,IF($E42=AR$1,$S42,AR41))</f>
        <v/>
      </c>
      <c r="AS42" s="15">
        <f>IF($D42=AS$1,$R42,IF($E42=AS$1,$S42,AS41))</f>
        <v/>
      </c>
      <c r="AT42" s="15">
        <f>IF($D42=AT$1,$R42,IF($E42=AT$1,$S42,AT41))</f>
        <v/>
      </c>
      <c r="AU42" s="15">
        <f>IF($D42=AU$1,$R42,IF($E42=AU$1,$S42,AU41))</f>
        <v/>
      </c>
      <c r="AV42" s="15">
        <f>IF($D42=AV$1,$R42,IF($E42=AV$1,$S42,AV41))</f>
        <v/>
      </c>
      <c r="AW42" s="15">
        <f>IF($D42=AW$1,$R42,IF($E42=AW$1,$S42,AW41))</f>
        <v/>
      </c>
      <c r="AX42" s="15">
        <f>IF($D42=AX$1,$R42,IF($E42=AX$1,$S42,AX41))</f>
        <v/>
      </c>
      <c r="AY42" s="15">
        <f>IF($D42=AY$1,$R42,IF($E42=AY$1,$S42,AY41))</f>
        <v/>
      </c>
      <c r="AZ42" s="15">
        <f>IF($D42=AZ$1,$R42,IF($E42=AZ$1,$S42,AZ41))</f>
        <v/>
      </c>
      <c r="BA42" s="15">
        <f>IF($D42=BA$1,$R42,IF($E42=BA$1,$S42,BA41))</f>
        <v/>
      </c>
      <c r="BB42" s="15">
        <f>IF($D42=BB$1,$R42,IF($E42=BB$1,$S42,BB41))</f>
        <v/>
      </c>
      <c r="BC42" s="15">
        <f>IF($D42=BC$1,$R42,IF($E42=BC$1,$S42,BC41))</f>
        <v/>
      </c>
      <c r="BD42" s="15">
        <f>IF($D42=BD$1,$R42,IF($E42=BD$1,$S42,BD41))</f>
        <v/>
      </c>
      <c r="BE42" s="15">
        <f>IF($D42=BE$1,$R42,IF($E42=BE$1,$S42,BE41))</f>
        <v/>
      </c>
      <c r="BF42" s="15">
        <f>IF($D42=BF$1,$R42,IF($E42=BF$1,$S42,BF41))</f>
        <v/>
      </c>
      <c r="BG42" s="15">
        <f>IF($D42=BG$1,$R42,IF($E42=BG$1,$S42,BG41))</f>
        <v/>
      </c>
      <c r="BH42" s="15">
        <f>IF($D42=BH$1,$R42,IF($E42=BH$1,$S42,BH41))</f>
        <v/>
      </c>
      <c r="BI42" s="15">
        <f>IF($D42=BI$1,$R42,IF($E42=BI$1,$S42,BI41))</f>
        <v/>
      </c>
      <c r="BJ42" s="15">
        <f>IF($D42=BJ$1,$R42,IF($E42=BJ$1,$S42,BJ41))</f>
        <v/>
      </c>
      <c r="BK42" s="15">
        <f>IF($D42=BK$1,$R42,IF($E42=BK$1,$S42,BK41))</f>
        <v/>
      </c>
      <c r="BL42" s="15">
        <f>IF($D42=BL$1,$R42,IF($E42=BL$1,$S42,BL41))</f>
        <v/>
      </c>
      <c r="BM42" s="15">
        <f>IF($D42=BM$1,$R42,IF($E42=BM$1,$S42,BM41))</f>
        <v/>
      </c>
      <c r="BN42" s="15">
        <f>IF($D42=BN$1,$R42,IF($E42=BN$1,$S42,BN41))</f>
        <v/>
      </c>
      <c r="BO42" s="15">
        <f>IF($D42=BO$1,$R42,IF($E42=BO$1,$S42,BO41))</f>
        <v/>
      </c>
      <c r="BP42" s="15">
        <f>IF($D42=BP$1,$R42,IF($E42=BP$1,$S42,BP41))</f>
        <v/>
      </c>
      <c r="BQ42" s="15">
        <f>IF($D42=BQ$1,$R42,IF($E42=BQ$1,$S42,BQ41))</f>
        <v/>
      </c>
      <c r="BR42" s="15">
        <f>IF($D42=BR$1,$R42,IF($E42=BR$1,$S42,BR41))</f>
        <v/>
      </c>
      <c r="BS42" s="15">
        <f>IF($D42=BS$1,$R42,IF($E42=BS$1,$S42,BS41))</f>
        <v/>
      </c>
      <c r="BT42" s="15">
        <f>IF($D42=BT$1,$R42,IF($E42=BT$1,$S42,BT41))</f>
        <v/>
      </c>
      <c r="BU42" s="15">
        <f>IF($D42=BU$1,$R42,IF($E42=BU$1,$S42,BU41))</f>
        <v/>
      </c>
      <c r="BV42" s="15">
        <f>IF($D42=BV$1,$R42,IF($E42=BV$1,$S42,BV41))</f>
        <v/>
      </c>
      <c r="BW42" s="15">
        <f>IF($D42=BW$1,$R42,IF($E42=BW$1,$S42,BW41))</f>
        <v/>
      </c>
      <c r="BX42" s="15">
        <f>IF($D42=BX$1,$R42,IF($E42=BX$1,$S42,BX41))</f>
        <v/>
      </c>
      <c r="BY42" s="15">
        <f>IF($D42=BY$1,$R42,IF($E42=BY$1,$S42,BY41))</f>
        <v/>
      </c>
      <c r="BZ42" s="15">
        <f>IF($D42=BZ$1,$R42,IF($E42=BZ$1,$S42,BZ41))</f>
        <v/>
      </c>
    </row>
    <row r="43" ht="15" customHeight="1">
      <c r="A43" s="7">
        <f>Fixture!A42</f>
        <v/>
      </c>
      <c r="B43" s="7">
        <f>Fixture!B42</f>
        <v/>
      </c>
      <c r="C43" s="7">
        <f>Fixture!C42</f>
        <v/>
      </c>
      <c r="D43" s="7">
        <f>Fixture!E42</f>
        <v/>
      </c>
      <c r="E43" s="7">
        <f>Fixture!F42</f>
        <v/>
      </c>
      <c r="F43" s="7">
        <f>Fixture!J42</f>
        <v/>
      </c>
      <c r="G43" s="7">
        <f>Fixture!K42</f>
        <v/>
      </c>
      <c r="H43" s="7">
        <f>IF(ISNUMBER(Resultados!B42),1,0)</f>
        <v/>
      </c>
      <c r="I43" s="7">
        <f>IF($H43=1,Resultados!B42,0)</f>
        <v/>
      </c>
      <c r="J43" s="7">
        <f>IF($H43=1,Resultados!C42,0)</f>
        <v/>
      </c>
      <c r="K43" s="12">
        <f>IFERROR(INDEX($AE42:$BZ42,MATCH($D43,$AE$1:$BZ$1,0)),"")</f>
        <v/>
      </c>
      <c r="L43" s="12">
        <f>IFERROR(INDEX($AE42:$BZ42,MATCH($E43,$AE$1:$BZ$1,0)),"")</f>
        <v/>
      </c>
      <c r="M43" s="12">
        <f>IF(OR($K43="",$L43=""),"",($K43+100*$F43)-($L43+100*$G43))</f>
        <v/>
      </c>
      <c r="N43" s="13">
        <f>IF($M43="","",1/(1+10^(-$M43/400)))</f>
        <v/>
      </c>
      <c r="O43" s="7">
        <f>IF(OR($H43=0,$N43=""),"",IF($I43&gt;$J43,1,IF($I43=$J43,0.5,0)))</f>
        <v/>
      </c>
      <c r="P43" s="14">
        <f>IF($O43="","",IF(ABS($I43-$J43)&lt;=1,1,IF(ABS($I43-$J43)=2,1.5,IF(ABS($I43-$J43)=3,1.75,1.75+(ABS($I43-$J43)-3)/8))))</f>
        <v/>
      </c>
      <c r="Q43" s="14">
        <f>IF($O43="",0,Equipos!$O$4*$P43*($O43-$N43))</f>
        <v/>
      </c>
      <c r="R43" s="12">
        <f>IF($K43="","",$K43+$Q43)</f>
        <v/>
      </c>
      <c r="S43" s="12">
        <f>IF($L43="","",$L43-$Q43)</f>
        <v/>
      </c>
      <c r="T43" s="14">
        <f>IF($M43="","",Equipos!$O$3*$M43)</f>
        <v/>
      </c>
      <c r="U43" s="14">
        <f>IFERROR(VLOOKUP($D43,Equipos!$A:$H,6,0),"")</f>
        <v/>
      </c>
      <c r="V43" s="14">
        <f>IFERROR(VLOOKUP($D43,Equipos!$A:$H,7,0),"")</f>
        <v/>
      </c>
      <c r="W43" s="14">
        <f>IFERROR(VLOOKUP($E43,Equipos!$A:$H,6,0),"")</f>
        <v/>
      </c>
      <c r="X43" s="14">
        <f>IFERROR(VLOOKUP($E43,Equipos!$A:$H,7,0),"")</f>
        <v/>
      </c>
      <c r="Y43" s="14">
        <f>IF(OR($U43="",$W43=""),"",MIN(3.6,MAX(1.8,Equipos!$O$2*SQRT($U43*$W43*$V43*$X43))))</f>
        <v/>
      </c>
      <c r="Z43" s="14">
        <f>IF(OR($Y43="",$T43=""),"",MAX(0.2,($Y43+$T43)/2))</f>
        <v/>
      </c>
      <c r="AA43" s="14">
        <f>IF(OR($Y43="",$T43=""),"",MAX(0.2,($Y43-$T43)/2))</f>
        <v/>
      </c>
      <c r="AE43" s="15">
        <f>IF($D43=AE$1,$R43,IF($E43=AE$1,$S43,AE42))</f>
        <v/>
      </c>
      <c r="AF43" s="15">
        <f>IF($D43=AF$1,$R43,IF($E43=AF$1,$S43,AF42))</f>
        <v/>
      </c>
      <c r="AG43" s="15">
        <f>IF($D43=AG$1,$R43,IF($E43=AG$1,$S43,AG42))</f>
        <v/>
      </c>
      <c r="AH43" s="15">
        <f>IF($D43=AH$1,$R43,IF($E43=AH$1,$S43,AH42))</f>
        <v/>
      </c>
      <c r="AI43" s="15">
        <f>IF($D43=AI$1,$R43,IF($E43=AI$1,$S43,AI42))</f>
        <v/>
      </c>
      <c r="AJ43" s="15">
        <f>IF($D43=AJ$1,$R43,IF($E43=AJ$1,$S43,AJ42))</f>
        <v/>
      </c>
      <c r="AK43" s="15">
        <f>IF($D43=AK$1,$R43,IF($E43=AK$1,$S43,AK42))</f>
        <v/>
      </c>
      <c r="AL43" s="15">
        <f>IF($D43=AL$1,$R43,IF($E43=AL$1,$S43,AL42))</f>
        <v/>
      </c>
      <c r="AM43" s="15">
        <f>IF($D43=AM$1,$R43,IF($E43=AM$1,$S43,AM42))</f>
        <v/>
      </c>
      <c r="AN43" s="15">
        <f>IF($D43=AN$1,$R43,IF($E43=AN$1,$S43,AN42))</f>
        <v/>
      </c>
      <c r="AO43" s="15">
        <f>IF($D43=AO$1,$R43,IF($E43=AO$1,$S43,AO42))</f>
        <v/>
      </c>
      <c r="AP43" s="15">
        <f>IF($D43=AP$1,$R43,IF($E43=AP$1,$S43,AP42))</f>
        <v/>
      </c>
      <c r="AQ43" s="15">
        <f>IF($D43=AQ$1,$R43,IF($E43=AQ$1,$S43,AQ42))</f>
        <v/>
      </c>
      <c r="AR43" s="15">
        <f>IF($D43=AR$1,$R43,IF($E43=AR$1,$S43,AR42))</f>
        <v/>
      </c>
      <c r="AS43" s="15">
        <f>IF($D43=AS$1,$R43,IF($E43=AS$1,$S43,AS42))</f>
        <v/>
      </c>
      <c r="AT43" s="15">
        <f>IF($D43=AT$1,$R43,IF($E43=AT$1,$S43,AT42))</f>
        <v/>
      </c>
      <c r="AU43" s="15">
        <f>IF($D43=AU$1,$R43,IF($E43=AU$1,$S43,AU42))</f>
        <v/>
      </c>
      <c r="AV43" s="15">
        <f>IF($D43=AV$1,$R43,IF($E43=AV$1,$S43,AV42))</f>
        <v/>
      </c>
      <c r="AW43" s="15">
        <f>IF($D43=AW$1,$R43,IF($E43=AW$1,$S43,AW42))</f>
        <v/>
      </c>
      <c r="AX43" s="15">
        <f>IF($D43=AX$1,$R43,IF($E43=AX$1,$S43,AX42))</f>
        <v/>
      </c>
      <c r="AY43" s="15">
        <f>IF($D43=AY$1,$R43,IF($E43=AY$1,$S43,AY42))</f>
        <v/>
      </c>
      <c r="AZ43" s="15">
        <f>IF($D43=AZ$1,$R43,IF($E43=AZ$1,$S43,AZ42))</f>
        <v/>
      </c>
      <c r="BA43" s="15">
        <f>IF($D43=BA$1,$R43,IF($E43=BA$1,$S43,BA42))</f>
        <v/>
      </c>
      <c r="BB43" s="15">
        <f>IF($D43=BB$1,$R43,IF($E43=BB$1,$S43,BB42))</f>
        <v/>
      </c>
      <c r="BC43" s="15">
        <f>IF($D43=BC$1,$R43,IF($E43=BC$1,$S43,BC42))</f>
        <v/>
      </c>
      <c r="BD43" s="15">
        <f>IF($D43=BD$1,$R43,IF($E43=BD$1,$S43,BD42))</f>
        <v/>
      </c>
      <c r="BE43" s="15">
        <f>IF($D43=BE$1,$R43,IF($E43=BE$1,$S43,BE42))</f>
        <v/>
      </c>
      <c r="BF43" s="15">
        <f>IF($D43=BF$1,$R43,IF($E43=BF$1,$S43,BF42))</f>
        <v/>
      </c>
      <c r="BG43" s="15">
        <f>IF($D43=BG$1,$R43,IF($E43=BG$1,$S43,BG42))</f>
        <v/>
      </c>
      <c r="BH43" s="15">
        <f>IF($D43=BH$1,$R43,IF($E43=BH$1,$S43,BH42))</f>
        <v/>
      </c>
      <c r="BI43" s="15">
        <f>IF($D43=BI$1,$R43,IF($E43=BI$1,$S43,BI42))</f>
        <v/>
      </c>
      <c r="BJ43" s="15">
        <f>IF($D43=BJ$1,$R43,IF($E43=BJ$1,$S43,BJ42))</f>
        <v/>
      </c>
      <c r="BK43" s="15">
        <f>IF($D43=BK$1,$R43,IF($E43=BK$1,$S43,BK42))</f>
        <v/>
      </c>
      <c r="BL43" s="15">
        <f>IF($D43=BL$1,$R43,IF($E43=BL$1,$S43,BL42))</f>
        <v/>
      </c>
      <c r="BM43" s="15">
        <f>IF($D43=BM$1,$R43,IF($E43=BM$1,$S43,BM42))</f>
        <v/>
      </c>
      <c r="BN43" s="15">
        <f>IF($D43=BN$1,$R43,IF($E43=BN$1,$S43,BN42))</f>
        <v/>
      </c>
      <c r="BO43" s="15">
        <f>IF($D43=BO$1,$R43,IF($E43=BO$1,$S43,BO42))</f>
        <v/>
      </c>
      <c r="BP43" s="15">
        <f>IF($D43=BP$1,$R43,IF($E43=BP$1,$S43,BP42))</f>
        <v/>
      </c>
      <c r="BQ43" s="15">
        <f>IF($D43=BQ$1,$R43,IF($E43=BQ$1,$S43,BQ42))</f>
        <v/>
      </c>
      <c r="BR43" s="15">
        <f>IF($D43=BR$1,$R43,IF($E43=BR$1,$S43,BR42))</f>
        <v/>
      </c>
      <c r="BS43" s="15">
        <f>IF($D43=BS$1,$R43,IF($E43=BS$1,$S43,BS42))</f>
        <v/>
      </c>
      <c r="BT43" s="15">
        <f>IF($D43=BT$1,$R43,IF($E43=BT$1,$S43,BT42))</f>
        <v/>
      </c>
      <c r="BU43" s="15">
        <f>IF($D43=BU$1,$R43,IF($E43=BU$1,$S43,BU42))</f>
        <v/>
      </c>
      <c r="BV43" s="15">
        <f>IF($D43=BV$1,$R43,IF($E43=BV$1,$S43,BV42))</f>
        <v/>
      </c>
      <c r="BW43" s="15">
        <f>IF($D43=BW$1,$R43,IF($E43=BW$1,$S43,BW42))</f>
        <v/>
      </c>
      <c r="BX43" s="15">
        <f>IF($D43=BX$1,$R43,IF($E43=BX$1,$S43,BX42))</f>
        <v/>
      </c>
      <c r="BY43" s="15">
        <f>IF($D43=BY$1,$R43,IF($E43=BY$1,$S43,BY42))</f>
        <v/>
      </c>
      <c r="BZ43" s="15">
        <f>IF($D43=BZ$1,$R43,IF($E43=BZ$1,$S43,BZ42))</f>
        <v/>
      </c>
    </row>
    <row r="44" ht="15" customHeight="1">
      <c r="A44" s="7">
        <f>Fixture!A43</f>
        <v/>
      </c>
      <c r="B44" s="7">
        <f>Fixture!B43</f>
        <v/>
      </c>
      <c r="C44" s="7">
        <f>Fixture!C43</f>
        <v/>
      </c>
      <c r="D44" s="7">
        <f>Fixture!E43</f>
        <v/>
      </c>
      <c r="E44" s="7">
        <f>Fixture!F43</f>
        <v/>
      </c>
      <c r="F44" s="7">
        <f>Fixture!J43</f>
        <v/>
      </c>
      <c r="G44" s="7">
        <f>Fixture!K43</f>
        <v/>
      </c>
      <c r="H44" s="7">
        <f>IF(ISNUMBER(Resultados!B43),1,0)</f>
        <v/>
      </c>
      <c r="I44" s="7">
        <f>IF($H44=1,Resultados!B43,0)</f>
        <v/>
      </c>
      <c r="J44" s="7">
        <f>IF($H44=1,Resultados!C43,0)</f>
        <v/>
      </c>
      <c r="K44" s="12">
        <f>IFERROR(INDEX($AE43:$BZ43,MATCH($D44,$AE$1:$BZ$1,0)),"")</f>
        <v/>
      </c>
      <c r="L44" s="12">
        <f>IFERROR(INDEX($AE43:$BZ43,MATCH($E44,$AE$1:$BZ$1,0)),"")</f>
        <v/>
      </c>
      <c r="M44" s="12">
        <f>IF(OR($K44="",$L44=""),"",($K44+100*$F44)-($L44+100*$G44))</f>
        <v/>
      </c>
      <c r="N44" s="13">
        <f>IF($M44="","",1/(1+10^(-$M44/400)))</f>
        <v/>
      </c>
      <c r="O44" s="7">
        <f>IF(OR($H44=0,$N44=""),"",IF($I44&gt;$J44,1,IF($I44=$J44,0.5,0)))</f>
        <v/>
      </c>
      <c r="P44" s="14">
        <f>IF($O44="","",IF(ABS($I44-$J44)&lt;=1,1,IF(ABS($I44-$J44)=2,1.5,IF(ABS($I44-$J44)=3,1.75,1.75+(ABS($I44-$J44)-3)/8))))</f>
        <v/>
      </c>
      <c r="Q44" s="14">
        <f>IF($O44="",0,Equipos!$O$4*$P44*($O44-$N44))</f>
        <v/>
      </c>
      <c r="R44" s="12">
        <f>IF($K44="","",$K44+$Q44)</f>
        <v/>
      </c>
      <c r="S44" s="12">
        <f>IF($L44="","",$L44-$Q44)</f>
        <v/>
      </c>
      <c r="T44" s="14">
        <f>IF($M44="","",Equipos!$O$3*$M44)</f>
        <v/>
      </c>
      <c r="U44" s="14">
        <f>IFERROR(VLOOKUP($D44,Equipos!$A:$H,6,0),"")</f>
        <v/>
      </c>
      <c r="V44" s="14">
        <f>IFERROR(VLOOKUP($D44,Equipos!$A:$H,7,0),"")</f>
        <v/>
      </c>
      <c r="W44" s="14">
        <f>IFERROR(VLOOKUP($E44,Equipos!$A:$H,6,0),"")</f>
        <v/>
      </c>
      <c r="X44" s="14">
        <f>IFERROR(VLOOKUP($E44,Equipos!$A:$H,7,0),"")</f>
        <v/>
      </c>
      <c r="Y44" s="14">
        <f>IF(OR($U44="",$W44=""),"",MIN(3.6,MAX(1.8,Equipos!$O$2*SQRT($U44*$W44*$V44*$X44))))</f>
        <v/>
      </c>
      <c r="Z44" s="14">
        <f>IF(OR($Y44="",$T44=""),"",MAX(0.2,($Y44+$T44)/2))</f>
        <v/>
      </c>
      <c r="AA44" s="14">
        <f>IF(OR($Y44="",$T44=""),"",MAX(0.2,($Y44-$T44)/2))</f>
        <v/>
      </c>
      <c r="AE44" s="15">
        <f>IF($D44=AE$1,$R44,IF($E44=AE$1,$S44,AE43))</f>
        <v/>
      </c>
      <c r="AF44" s="15">
        <f>IF($D44=AF$1,$R44,IF($E44=AF$1,$S44,AF43))</f>
        <v/>
      </c>
      <c r="AG44" s="15">
        <f>IF($D44=AG$1,$R44,IF($E44=AG$1,$S44,AG43))</f>
        <v/>
      </c>
      <c r="AH44" s="15">
        <f>IF($D44=AH$1,$R44,IF($E44=AH$1,$S44,AH43))</f>
        <v/>
      </c>
      <c r="AI44" s="15">
        <f>IF($D44=AI$1,$R44,IF($E44=AI$1,$S44,AI43))</f>
        <v/>
      </c>
      <c r="AJ44" s="15">
        <f>IF($D44=AJ$1,$R44,IF($E44=AJ$1,$S44,AJ43))</f>
        <v/>
      </c>
      <c r="AK44" s="15">
        <f>IF($D44=AK$1,$R44,IF($E44=AK$1,$S44,AK43))</f>
        <v/>
      </c>
      <c r="AL44" s="15">
        <f>IF($D44=AL$1,$R44,IF($E44=AL$1,$S44,AL43))</f>
        <v/>
      </c>
      <c r="AM44" s="15">
        <f>IF($D44=AM$1,$R44,IF($E44=AM$1,$S44,AM43))</f>
        <v/>
      </c>
      <c r="AN44" s="15">
        <f>IF($D44=AN$1,$R44,IF($E44=AN$1,$S44,AN43))</f>
        <v/>
      </c>
      <c r="AO44" s="15">
        <f>IF($D44=AO$1,$R44,IF($E44=AO$1,$S44,AO43))</f>
        <v/>
      </c>
      <c r="AP44" s="15">
        <f>IF($D44=AP$1,$R44,IF($E44=AP$1,$S44,AP43))</f>
        <v/>
      </c>
      <c r="AQ44" s="15">
        <f>IF($D44=AQ$1,$R44,IF($E44=AQ$1,$S44,AQ43))</f>
        <v/>
      </c>
      <c r="AR44" s="15">
        <f>IF($D44=AR$1,$R44,IF($E44=AR$1,$S44,AR43))</f>
        <v/>
      </c>
      <c r="AS44" s="15">
        <f>IF($D44=AS$1,$R44,IF($E44=AS$1,$S44,AS43))</f>
        <v/>
      </c>
      <c r="AT44" s="15">
        <f>IF($D44=AT$1,$R44,IF($E44=AT$1,$S44,AT43))</f>
        <v/>
      </c>
      <c r="AU44" s="15">
        <f>IF($D44=AU$1,$R44,IF($E44=AU$1,$S44,AU43))</f>
        <v/>
      </c>
      <c r="AV44" s="15">
        <f>IF($D44=AV$1,$R44,IF($E44=AV$1,$S44,AV43))</f>
        <v/>
      </c>
      <c r="AW44" s="15">
        <f>IF($D44=AW$1,$R44,IF($E44=AW$1,$S44,AW43))</f>
        <v/>
      </c>
      <c r="AX44" s="15">
        <f>IF($D44=AX$1,$R44,IF($E44=AX$1,$S44,AX43))</f>
        <v/>
      </c>
      <c r="AY44" s="15">
        <f>IF($D44=AY$1,$R44,IF($E44=AY$1,$S44,AY43))</f>
        <v/>
      </c>
      <c r="AZ44" s="15">
        <f>IF($D44=AZ$1,$R44,IF($E44=AZ$1,$S44,AZ43))</f>
        <v/>
      </c>
      <c r="BA44" s="15">
        <f>IF($D44=BA$1,$R44,IF($E44=BA$1,$S44,BA43))</f>
        <v/>
      </c>
      <c r="BB44" s="15">
        <f>IF($D44=BB$1,$R44,IF($E44=BB$1,$S44,BB43))</f>
        <v/>
      </c>
      <c r="BC44" s="15">
        <f>IF($D44=BC$1,$R44,IF($E44=BC$1,$S44,BC43))</f>
        <v/>
      </c>
      <c r="BD44" s="15">
        <f>IF($D44=BD$1,$R44,IF($E44=BD$1,$S44,BD43))</f>
        <v/>
      </c>
      <c r="BE44" s="15">
        <f>IF($D44=BE$1,$R44,IF($E44=BE$1,$S44,BE43))</f>
        <v/>
      </c>
      <c r="BF44" s="15">
        <f>IF($D44=BF$1,$R44,IF($E44=BF$1,$S44,BF43))</f>
        <v/>
      </c>
      <c r="BG44" s="15">
        <f>IF($D44=BG$1,$R44,IF($E44=BG$1,$S44,BG43))</f>
        <v/>
      </c>
      <c r="BH44" s="15">
        <f>IF($D44=BH$1,$R44,IF($E44=BH$1,$S44,BH43))</f>
        <v/>
      </c>
      <c r="BI44" s="15">
        <f>IF($D44=BI$1,$R44,IF($E44=BI$1,$S44,BI43))</f>
        <v/>
      </c>
      <c r="BJ44" s="15">
        <f>IF($D44=BJ$1,$R44,IF($E44=BJ$1,$S44,BJ43))</f>
        <v/>
      </c>
      <c r="BK44" s="15">
        <f>IF($D44=BK$1,$R44,IF($E44=BK$1,$S44,BK43))</f>
        <v/>
      </c>
      <c r="BL44" s="15">
        <f>IF($D44=BL$1,$R44,IF($E44=BL$1,$S44,BL43))</f>
        <v/>
      </c>
      <c r="BM44" s="15">
        <f>IF($D44=BM$1,$R44,IF($E44=BM$1,$S44,BM43))</f>
        <v/>
      </c>
      <c r="BN44" s="15">
        <f>IF($D44=BN$1,$R44,IF($E44=BN$1,$S44,BN43))</f>
        <v/>
      </c>
      <c r="BO44" s="15">
        <f>IF($D44=BO$1,$R44,IF($E44=BO$1,$S44,BO43))</f>
        <v/>
      </c>
      <c r="BP44" s="15">
        <f>IF($D44=BP$1,$R44,IF($E44=BP$1,$S44,BP43))</f>
        <v/>
      </c>
      <c r="BQ44" s="15">
        <f>IF($D44=BQ$1,$R44,IF($E44=BQ$1,$S44,BQ43))</f>
        <v/>
      </c>
      <c r="BR44" s="15">
        <f>IF($D44=BR$1,$R44,IF($E44=BR$1,$S44,BR43))</f>
        <v/>
      </c>
      <c r="BS44" s="15">
        <f>IF($D44=BS$1,$R44,IF($E44=BS$1,$S44,BS43))</f>
        <v/>
      </c>
      <c r="BT44" s="15">
        <f>IF($D44=BT$1,$R44,IF($E44=BT$1,$S44,BT43))</f>
        <v/>
      </c>
      <c r="BU44" s="15">
        <f>IF($D44=BU$1,$R44,IF($E44=BU$1,$S44,BU43))</f>
        <v/>
      </c>
      <c r="BV44" s="15">
        <f>IF($D44=BV$1,$R44,IF($E44=BV$1,$S44,BV43))</f>
        <v/>
      </c>
      <c r="BW44" s="15">
        <f>IF($D44=BW$1,$R44,IF($E44=BW$1,$S44,BW43))</f>
        <v/>
      </c>
      <c r="BX44" s="15">
        <f>IF($D44=BX$1,$R44,IF($E44=BX$1,$S44,BX43))</f>
        <v/>
      </c>
      <c r="BY44" s="15">
        <f>IF($D44=BY$1,$R44,IF($E44=BY$1,$S44,BY43))</f>
        <v/>
      </c>
      <c r="BZ44" s="15">
        <f>IF($D44=BZ$1,$R44,IF($E44=BZ$1,$S44,BZ43))</f>
        <v/>
      </c>
    </row>
    <row r="45" ht="15" customHeight="1">
      <c r="A45" s="7">
        <f>Fixture!A44</f>
        <v/>
      </c>
      <c r="B45" s="7">
        <f>Fixture!B44</f>
        <v/>
      </c>
      <c r="C45" s="7">
        <f>Fixture!C44</f>
        <v/>
      </c>
      <c r="D45" s="7">
        <f>Fixture!E44</f>
        <v/>
      </c>
      <c r="E45" s="7">
        <f>Fixture!F44</f>
        <v/>
      </c>
      <c r="F45" s="7">
        <f>Fixture!J44</f>
        <v/>
      </c>
      <c r="G45" s="7">
        <f>Fixture!K44</f>
        <v/>
      </c>
      <c r="H45" s="7">
        <f>IF(ISNUMBER(Resultados!B44),1,0)</f>
        <v/>
      </c>
      <c r="I45" s="7">
        <f>IF($H45=1,Resultados!B44,0)</f>
        <v/>
      </c>
      <c r="J45" s="7">
        <f>IF($H45=1,Resultados!C44,0)</f>
        <v/>
      </c>
      <c r="K45" s="12">
        <f>IFERROR(INDEX($AE44:$BZ44,MATCH($D45,$AE$1:$BZ$1,0)),"")</f>
        <v/>
      </c>
      <c r="L45" s="12">
        <f>IFERROR(INDEX($AE44:$BZ44,MATCH($E45,$AE$1:$BZ$1,0)),"")</f>
        <v/>
      </c>
      <c r="M45" s="12">
        <f>IF(OR($K45="",$L45=""),"",($K45+100*$F45)-($L45+100*$G45))</f>
        <v/>
      </c>
      <c r="N45" s="13">
        <f>IF($M45="","",1/(1+10^(-$M45/400)))</f>
        <v/>
      </c>
      <c r="O45" s="7">
        <f>IF(OR($H45=0,$N45=""),"",IF($I45&gt;$J45,1,IF($I45=$J45,0.5,0)))</f>
        <v/>
      </c>
      <c r="P45" s="14">
        <f>IF($O45="","",IF(ABS($I45-$J45)&lt;=1,1,IF(ABS($I45-$J45)=2,1.5,IF(ABS($I45-$J45)=3,1.75,1.75+(ABS($I45-$J45)-3)/8))))</f>
        <v/>
      </c>
      <c r="Q45" s="14">
        <f>IF($O45="",0,Equipos!$O$4*$P45*($O45-$N45))</f>
        <v/>
      </c>
      <c r="R45" s="12">
        <f>IF($K45="","",$K45+$Q45)</f>
        <v/>
      </c>
      <c r="S45" s="12">
        <f>IF($L45="","",$L45-$Q45)</f>
        <v/>
      </c>
      <c r="T45" s="14">
        <f>IF($M45="","",Equipos!$O$3*$M45)</f>
        <v/>
      </c>
      <c r="U45" s="14">
        <f>IFERROR(VLOOKUP($D45,Equipos!$A:$H,6,0),"")</f>
        <v/>
      </c>
      <c r="V45" s="14">
        <f>IFERROR(VLOOKUP($D45,Equipos!$A:$H,7,0),"")</f>
        <v/>
      </c>
      <c r="W45" s="14">
        <f>IFERROR(VLOOKUP($E45,Equipos!$A:$H,6,0),"")</f>
        <v/>
      </c>
      <c r="X45" s="14">
        <f>IFERROR(VLOOKUP($E45,Equipos!$A:$H,7,0),"")</f>
        <v/>
      </c>
      <c r="Y45" s="14">
        <f>IF(OR($U45="",$W45=""),"",MIN(3.6,MAX(1.8,Equipos!$O$2*SQRT($U45*$W45*$V45*$X45))))</f>
        <v/>
      </c>
      <c r="Z45" s="14">
        <f>IF(OR($Y45="",$T45=""),"",MAX(0.2,($Y45+$T45)/2))</f>
        <v/>
      </c>
      <c r="AA45" s="14">
        <f>IF(OR($Y45="",$T45=""),"",MAX(0.2,($Y45-$T45)/2))</f>
        <v/>
      </c>
      <c r="AE45" s="15">
        <f>IF($D45=AE$1,$R45,IF($E45=AE$1,$S45,AE44))</f>
        <v/>
      </c>
      <c r="AF45" s="15">
        <f>IF($D45=AF$1,$R45,IF($E45=AF$1,$S45,AF44))</f>
        <v/>
      </c>
      <c r="AG45" s="15">
        <f>IF($D45=AG$1,$R45,IF($E45=AG$1,$S45,AG44))</f>
        <v/>
      </c>
      <c r="AH45" s="15">
        <f>IF($D45=AH$1,$R45,IF($E45=AH$1,$S45,AH44))</f>
        <v/>
      </c>
      <c r="AI45" s="15">
        <f>IF($D45=AI$1,$R45,IF($E45=AI$1,$S45,AI44))</f>
        <v/>
      </c>
      <c r="AJ45" s="15">
        <f>IF($D45=AJ$1,$R45,IF($E45=AJ$1,$S45,AJ44))</f>
        <v/>
      </c>
      <c r="AK45" s="15">
        <f>IF($D45=AK$1,$R45,IF($E45=AK$1,$S45,AK44))</f>
        <v/>
      </c>
      <c r="AL45" s="15">
        <f>IF($D45=AL$1,$R45,IF($E45=AL$1,$S45,AL44))</f>
        <v/>
      </c>
      <c r="AM45" s="15">
        <f>IF($D45=AM$1,$R45,IF($E45=AM$1,$S45,AM44))</f>
        <v/>
      </c>
      <c r="AN45" s="15">
        <f>IF($D45=AN$1,$R45,IF($E45=AN$1,$S45,AN44))</f>
        <v/>
      </c>
      <c r="AO45" s="15">
        <f>IF($D45=AO$1,$R45,IF($E45=AO$1,$S45,AO44))</f>
        <v/>
      </c>
      <c r="AP45" s="15">
        <f>IF($D45=AP$1,$R45,IF($E45=AP$1,$S45,AP44))</f>
        <v/>
      </c>
      <c r="AQ45" s="15">
        <f>IF($D45=AQ$1,$R45,IF($E45=AQ$1,$S45,AQ44))</f>
        <v/>
      </c>
      <c r="AR45" s="15">
        <f>IF($D45=AR$1,$R45,IF($E45=AR$1,$S45,AR44))</f>
        <v/>
      </c>
      <c r="AS45" s="15">
        <f>IF($D45=AS$1,$R45,IF($E45=AS$1,$S45,AS44))</f>
        <v/>
      </c>
      <c r="AT45" s="15">
        <f>IF($D45=AT$1,$R45,IF($E45=AT$1,$S45,AT44))</f>
        <v/>
      </c>
      <c r="AU45" s="15">
        <f>IF($D45=AU$1,$R45,IF($E45=AU$1,$S45,AU44))</f>
        <v/>
      </c>
      <c r="AV45" s="15">
        <f>IF($D45=AV$1,$R45,IF($E45=AV$1,$S45,AV44))</f>
        <v/>
      </c>
      <c r="AW45" s="15">
        <f>IF($D45=AW$1,$R45,IF($E45=AW$1,$S45,AW44))</f>
        <v/>
      </c>
      <c r="AX45" s="15">
        <f>IF($D45=AX$1,$R45,IF($E45=AX$1,$S45,AX44))</f>
        <v/>
      </c>
      <c r="AY45" s="15">
        <f>IF($D45=AY$1,$R45,IF($E45=AY$1,$S45,AY44))</f>
        <v/>
      </c>
      <c r="AZ45" s="15">
        <f>IF($D45=AZ$1,$R45,IF($E45=AZ$1,$S45,AZ44))</f>
        <v/>
      </c>
      <c r="BA45" s="15">
        <f>IF($D45=BA$1,$R45,IF($E45=BA$1,$S45,BA44))</f>
        <v/>
      </c>
      <c r="BB45" s="15">
        <f>IF($D45=BB$1,$R45,IF($E45=BB$1,$S45,BB44))</f>
        <v/>
      </c>
      <c r="BC45" s="15">
        <f>IF($D45=BC$1,$R45,IF($E45=BC$1,$S45,BC44))</f>
        <v/>
      </c>
      <c r="BD45" s="15">
        <f>IF($D45=BD$1,$R45,IF($E45=BD$1,$S45,BD44))</f>
        <v/>
      </c>
      <c r="BE45" s="15">
        <f>IF($D45=BE$1,$R45,IF($E45=BE$1,$S45,BE44))</f>
        <v/>
      </c>
      <c r="BF45" s="15">
        <f>IF($D45=BF$1,$R45,IF($E45=BF$1,$S45,BF44))</f>
        <v/>
      </c>
      <c r="BG45" s="15">
        <f>IF($D45=BG$1,$R45,IF($E45=BG$1,$S45,BG44))</f>
        <v/>
      </c>
      <c r="BH45" s="15">
        <f>IF($D45=BH$1,$R45,IF($E45=BH$1,$S45,BH44))</f>
        <v/>
      </c>
      <c r="BI45" s="15">
        <f>IF($D45=BI$1,$R45,IF($E45=BI$1,$S45,BI44))</f>
        <v/>
      </c>
      <c r="BJ45" s="15">
        <f>IF($D45=BJ$1,$R45,IF($E45=BJ$1,$S45,BJ44))</f>
        <v/>
      </c>
      <c r="BK45" s="15">
        <f>IF($D45=BK$1,$R45,IF($E45=BK$1,$S45,BK44))</f>
        <v/>
      </c>
      <c r="BL45" s="15">
        <f>IF($D45=BL$1,$R45,IF($E45=BL$1,$S45,BL44))</f>
        <v/>
      </c>
      <c r="BM45" s="15">
        <f>IF($D45=BM$1,$R45,IF($E45=BM$1,$S45,BM44))</f>
        <v/>
      </c>
      <c r="BN45" s="15">
        <f>IF($D45=BN$1,$R45,IF($E45=BN$1,$S45,BN44))</f>
        <v/>
      </c>
      <c r="BO45" s="15">
        <f>IF($D45=BO$1,$R45,IF($E45=BO$1,$S45,BO44))</f>
        <v/>
      </c>
      <c r="BP45" s="15">
        <f>IF($D45=BP$1,$R45,IF($E45=BP$1,$S45,BP44))</f>
        <v/>
      </c>
      <c r="BQ45" s="15">
        <f>IF($D45=BQ$1,$R45,IF($E45=BQ$1,$S45,BQ44))</f>
        <v/>
      </c>
      <c r="BR45" s="15">
        <f>IF($D45=BR$1,$R45,IF($E45=BR$1,$S45,BR44))</f>
        <v/>
      </c>
      <c r="BS45" s="15">
        <f>IF($D45=BS$1,$R45,IF($E45=BS$1,$S45,BS44))</f>
        <v/>
      </c>
      <c r="BT45" s="15">
        <f>IF($D45=BT$1,$R45,IF($E45=BT$1,$S45,BT44))</f>
        <v/>
      </c>
      <c r="BU45" s="15">
        <f>IF($D45=BU$1,$R45,IF($E45=BU$1,$S45,BU44))</f>
        <v/>
      </c>
      <c r="BV45" s="15">
        <f>IF($D45=BV$1,$R45,IF($E45=BV$1,$S45,BV44))</f>
        <v/>
      </c>
      <c r="BW45" s="15">
        <f>IF($D45=BW$1,$R45,IF($E45=BW$1,$S45,BW44))</f>
        <v/>
      </c>
      <c r="BX45" s="15">
        <f>IF($D45=BX$1,$R45,IF($E45=BX$1,$S45,BX44))</f>
        <v/>
      </c>
      <c r="BY45" s="15">
        <f>IF($D45=BY$1,$R45,IF($E45=BY$1,$S45,BY44))</f>
        <v/>
      </c>
      <c r="BZ45" s="15">
        <f>IF($D45=BZ$1,$R45,IF($E45=BZ$1,$S45,BZ44))</f>
        <v/>
      </c>
    </row>
    <row r="46" ht="15" customHeight="1">
      <c r="A46" s="7">
        <f>Fixture!A45</f>
        <v/>
      </c>
      <c r="B46" s="7">
        <f>Fixture!B45</f>
        <v/>
      </c>
      <c r="C46" s="7">
        <f>Fixture!C45</f>
        <v/>
      </c>
      <c r="D46" s="7">
        <f>Fixture!E45</f>
        <v/>
      </c>
      <c r="E46" s="7">
        <f>Fixture!F45</f>
        <v/>
      </c>
      <c r="F46" s="7">
        <f>Fixture!J45</f>
        <v/>
      </c>
      <c r="G46" s="7">
        <f>Fixture!K45</f>
        <v/>
      </c>
      <c r="H46" s="7">
        <f>IF(ISNUMBER(Resultados!B45),1,0)</f>
        <v/>
      </c>
      <c r="I46" s="7">
        <f>IF($H46=1,Resultados!B45,0)</f>
        <v/>
      </c>
      <c r="J46" s="7">
        <f>IF($H46=1,Resultados!C45,0)</f>
        <v/>
      </c>
      <c r="K46" s="12">
        <f>IFERROR(INDEX($AE45:$BZ45,MATCH($D46,$AE$1:$BZ$1,0)),"")</f>
        <v/>
      </c>
      <c r="L46" s="12">
        <f>IFERROR(INDEX($AE45:$BZ45,MATCH($E46,$AE$1:$BZ$1,0)),"")</f>
        <v/>
      </c>
      <c r="M46" s="12">
        <f>IF(OR($K46="",$L46=""),"",($K46+100*$F46)-($L46+100*$G46))</f>
        <v/>
      </c>
      <c r="N46" s="13">
        <f>IF($M46="","",1/(1+10^(-$M46/400)))</f>
        <v/>
      </c>
      <c r="O46" s="7">
        <f>IF(OR($H46=0,$N46=""),"",IF($I46&gt;$J46,1,IF($I46=$J46,0.5,0)))</f>
        <v/>
      </c>
      <c r="P46" s="14">
        <f>IF($O46="","",IF(ABS($I46-$J46)&lt;=1,1,IF(ABS($I46-$J46)=2,1.5,IF(ABS($I46-$J46)=3,1.75,1.75+(ABS($I46-$J46)-3)/8))))</f>
        <v/>
      </c>
      <c r="Q46" s="14">
        <f>IF($O46="",0,Equipos!$O$4*$P46*($O46-$N46))</f>
        <v/>
      </c>
      <c r="R46" s="12">
        <f>IF($K46="","",$K46+$Q46)</f>
        <v/>
      </c>
      <c r="S46" s="12">
        <f>IF($L46="","",$L46-$Q46)</f>
        <v/>
      </c>
      <c r="T46" s="14">
        <f>IF($M46="","",Equipos!$O$3*$M46)</f>
        <v/>
      </c>
      <c r="U46" s="14">
        <f>IFERROR(VLOOKUP($D46,Equipos!$A:$H,6,0),"")</f>
        <v/>
      </c>
      <c r="V46" s="14">
        <f>IFERROR(VLOOKUP($D46,Equipos!$A:$H,7,0),"")</f>
        <v/>
      </c>
      <c r="W46" s="14">
        <f>IFERROR(VLOOKUP($E46,Equipos!$A:$H,6,0),"")</f>
        <v/>
      </c>
      <c r="X46" s="14">
        <f>IFERROR(VLOOKUP($E46,Equipos!$A:$H,7,0),"")</f>
        <v/>
      </c>
      <c r="Y46" s="14">
        <f>IF(OR($U46="",$W46=""),"",MIN(3.6,MAX(1.8,Equipos!$O$2*SQRT($U46*$W46*$V46*$X46))))</f>
        <v/>
      </c>
      <c r="Z46" s="14">
        <f>IF(OR($Y46="",$T46=""),"",MAX(0.2,($Y46+$T46)/2))</f>
        <v/>
      </c>
      <c r="AA46" s="14">
        <f>IF(OR($Y46="",$T46=""),"",MAX(0.2,($Y46-$T46)/2))</f>
        <v/>
      </c>
      <c r="AE46" s="15">
        <f>IF($D46=AE$1,$R46,IF($E46=AE$1,$S46,AE45))</f>
        <v/>
      </c>
      <c r="AF46" s="15">
        <f>IF($D46=AF$1,$R46,IF($E46=AF$1,$S46,AF45))</f>
        <v/>
      </c>
      <c r="AG46" s="15">
        <f>IF($D46=AG$1,$R46,IF($E46=AG$1,$S46,AG45))</f>
        <v/>
      </c>
      <c r="AH46" s="15">
        <f>IF($D46=AH$1,$R46,IF($E46=AH$1,$S46,AH45))</f>
        <v/>
      </c>
      <c r="AI46" s="15">
        <f>IF($D46=AI$1,$R46,IF($E46=AI$1,$S46,AI45))</f>
        <v/>
      </c>
      <c r="AJ46" s="15">
        <f>IF($D46=AJ$1,$R46,IF($E46=AJ$1,$S46,AJ45))</f>
        <v/>
      </c>
      <c r="AK46" s="15">
        <f>IF($D46=AK$1,$R46,IF($E46=AK$1,$S46,AK45))</f>
        <v/>
      </c>
      <c r="AL46" s="15">
        <f>IF($D46=AL$1,$R46,IF($E46=AL$1,$S46,AL45))</f>
        <v/>
      </c>
      <c r="AM46" s="15">
        <f>IF($D46=AM$1,$R46,IF($E46=AM$1,$S46,AM45))</f>
        <v/>
      </c>
      <c r="AN46" s="15">
        <f>IF($D46=AN$1,$R46,IF($E46=AN$1,$S46,AN45))</f>
        <v/>
      </c>
      <c r="AO46" s="15">
        <f>IF($D46=AO$1,$R46,IF($E46=AO$1,$S46,AO45))</f>
        <v/>
      </c>
      <c r="AP46" s="15">
        <f>IF($D46=AP$1,$R46,IF($E46=AP$1,$S46,AP45))</f>
        <v/>
      </c>
      <c r="AQ46" s="15">
        <f>IF($D46=AQ$1,$R46,IF($E46=AQ$1,$S46,AQ45))</f>
        <v/>
      </c>
      <c r="AR46" s="15">
        <f>IF($D46=AR$1,$R46,IF($E46=AR$1,$S46,AR45))</f>
        <v/>
      </c>
      <c r="AS46" s="15">
        <f>IF($D46=AS$1,$R46,IF($E46=AS$1,$S46,AS45))</f>
        <v/>
      </c>
      <c r="AT46" s="15">
        <f>IF($D46=AT$1,$R46,IF($E46=AT$1,$S46,AT45))</f>
        <v/>
      </c>
      <c r="AU46" s="15">
        <f>IF($D46=AU$1,$R46,IF($E46=AU$1,$S46,AU45))</f>
        <v/>
      </c>
      <c r="AV46" s="15">
        <f>IF($D46=AV$1,$R46,IF($E46=AV$1,$S46,AV45))</f>
        <v/>
      </c>
      <c r="AW46" s="15">
        <f>IF($D46=AW$1,$R46,IF($E46=AW$1,$S46,AW45))</f>
        <v/>
      </c>
      <c r="AX46" s="15">
        <f>IF($D46=AX$1,$R46,IF($E46=AX$1,$S46,AX45))</f>
        <v/>
      </c>
      <c r="AY46" s="15">
        <f>IF($D46=AY$1,$R46,IF($E46=AY$1,$S46,AY45))</f>
        <v/>
      </c>
      <c r="AZ46" s="15">
        <f>IF($D46=AZ$1,$R46,IF($E46=AZ$1,$S46,AZ45))</f>
        <v/>
      </c>
      <c r="BA46" s="15">
        <f>IF($D46=BA$1,$R46,IF($E46=BA$1,$S46,BA45))</f>
        <v/>
      </c>
      <c r="BB46" s="15">
        <f>IF($D46=BB$1,$R46,IF($E46=BB$1,$S46,BB45))</f>
        <v/>
      </c>
      <c r="BC46" s="15">
        <f>IF($D46=BC$1,$R46,IF($E46=BC$1,$S46,BC45))</f>
        <v/>
      </c>
      <c r="BD46" s="15">
        <f>IF($D46=BD$1,$R46,IF($E46=BD$1,$S46,BD45))</f>
        <v/>
      </c>
      <c r="BE46" s="15">
        <f>IF($D46=BE$1,$R46,IF($E46=BE$1,$S46,BE45))</f>
        <v/>
      </c>
      <c r="BF46" s="15">
        <f>IF($D46=BF$1,$R46,IF($E46=BF$1,$S46,BF45))</f>
        <v/>
      </c>
      <c r="BG46" s="15">
        <f>IF($D46=BG$1,$R46,IF($E46=BG$1,$S46,BG45))</f>
        <v/>
      </c>
      <c r="BH46" s="15">
        <f>IF($D46=BH$1,$R46,IF($E46=BH$1,$S46,BH45))</f>
        <v/>
      </c>
      <c r="BI46" s="15">
        <f>IF($D46=BI$1,$R46,IF($E46=BI$1,$S46,BI45))</f>
        <v/>
      </c>
      <c r="BJ46" s="15">
        <f>IF($D46=BJ$1,$R46,IF($E46=BJ$1,$S46,BJ45))</f>
        <v/>
      </c>
      <c r="BK46" s="15">
        <f>IF($D46=BK$1,$R46,IF($E46=BK$1,$S46,BK45))</f>
        <v/>
      </c>
      <c r="BL46" s="15">
        <f>IF($D46=BL$1,$R46,IF($E46=BL$1,$S46,BL45))</f>
        <v/>
      </c>
      <c r="BM46" s="15">
        <f>IF($D46=BM$1,$R46,IF($E46=BM$1,$S46,BM45))</f>
        <v/>
      </c>
      <c r="BN46" s="15">
        <f>IF($D46=BN$1,$R46,IF($E46=BN$1,$S46,BN45))</f>
        <v/>
      </c>
      <c r="BO46" s="15">
        <f>IF($D46=BO$1,$R46,IF($E46=BO$1,$S46,BO45))</f>
        <v/>
      </c>
      <c r="BP46" s="15">
        <f>IF($D46=BP$1,$R46,IF($E46=BP$1,$S46,BP45))</f>
        <v/>
      </c>
      <c r="BQ46" s="15">
        <f>IF($D46=BQ$1,$R46,IF($E46=BQ$1,$S46,BQ45))</f>
        <v/>
      </c>
      <c r="BR46" s="15">
        <f>IF($D46=BR$1,$R46,IF($E46=BR$1,$S46,BR45))</f>
        <v/>
      </c>
      <c r="BS46" s="15">
        <f>IF($D46=BS$1,$R46,IF($E46=BS$1,$S46,BS45))</f>
        <v/>
      </c>
      <c r="BT46" s="15">
        <f>IF($D46=BT$1,$R46,IF($E46=BT$1,$S46,BT45))</f>
        <v/>
      </c>
      <c r="BU46" s="15">
        <f>IF($D46=BU$1,$R46,IF($E46=BU$1,$S46,BU45))</f>
        <v/>
      </c>
      <c r="BV46" s="15">
        <f>IF($D46=BV$1,$R46,IF($E46=BV$1,$S46,BV45))</f>
        <v/>
      </c>
      <c r="BW46" s="15">
        <f>IF($D46=BW$1,$R46,IF($E46=BW$1,$S46,BW45))</f>
        <v/>
      </c>
      <c r="BX46" s="15">
        <f>IF($D46=BX$1,$R46,IF($E46=BX$1,$S46,BX45))</f>
        <v/>
      </c>
      <c r="BY46" s="15">
        <f>IF($D46=BY$1,$R46,IF($E46=BY$1,$S46,BY45))</f>
        <v/>
      </c>
      <c r="BZ46" s="15">
        <f>IF($D46=BZ$1,$R46,IF($E46=BZ$1,$S46,BZ45))</f>
        <v/>
      </c>
    </row>
    <row r="47" ht="15" customHeight="1">
      <c r="A47" s="7">
        <f>Fixture!A46</f>
        <v/>
      </c>
      <c r="B47" s="7">
        <f>Fixture!B46</f>
        <v/>
      </c>
      <c r="C47" s="7">
        <f>Fixture!C46</f>
        <v/>
      </c>
      <c r="D47" s="7">
        <f>Fixture!E46</f>
        <v/>
      </c>
      <c r="E47" s="7">
        <f>Fixture!F46</f>
        <v/>
      </c>
      <c r="F47" s="7">
        <f>Fixture!J46</f>
        <v/>
      </c>
      <c r="G47" s="7">
        <f>Fixture!K46</f>
        <v/>
      </c>
      <c r="H47" s="7">
        <f>IF(ISNUMBER(Resultados!B46),1,0)</f>
        <v/>
      </c>
      <c r="I47" s="7">
        <f>IF($H47=1,Resultados!B46,0)</f>
        <v/>
      </c>
      <c r="J47" s="7">
        <f>IF($H47=1,Resultados!C46,0)</f>
        <v/>
      </c>
      <c r="K47" s="12">
        <f>IFERROR(INDEX($AE46:$BZ46,MATCH($D47,$AE$1:$BZ$1,0)),"")</f>
        <v/>
      </c>
      <c r="L47" s="12">
        <f>IFERROR(INDEX($AE46:$BZ46,MATCH($E47,$AE$1:$BZ$1,0)),"")</f>
        <v/>
      </c>
      <c r="M47" s="12">
        <f>IF(OR($K47="",$L47=""),"",($K47+100*$F47)-($L47+100*$G47))</f>
        <v/>
      </c>
      <c r="N47" s="13">
        <f>IF($M47="","",1/(1+10^(-$M47/400)))</f>
        <v/>
      </c>
      <c r="O47" s="7">
        <f>IF(OR($H47=0,$N47=""),"",IF($I47&gt;$J47,1,IF($I47=$J47,0.5,0)))</f>
        <v/>
      </c>
      <c r="P47" s="14">
        <f>IF($O47="","",IF(ABS($I47-$J47)&lt;=1,1,IF(ABS($I47-$J47)=2,1.5,IF(ABS($I47-$J47)=3,1.75,1.75+(ABS($I47-$J47)-3)/8))))</f>
        <v/>
      </c>
      <c r="Q47" s="14">
        <f>IF($O47="",0,Equipos!$O$4*$P47*($O47-$N47))</f>
        <v/>
      </c>
      <c r="R47" s="12">
        <f>IF($K47="","",$K47+$Q47)</f>
        <v/>
      </c>
      <c r="S47" s="12">
        <f>IF($L47="","",$L47-$Q47)</f>
        <v/>
      </c>
      <c r="T47" s="14">
        <f>IF($M47="","",Equipos!$O$3*$M47)</f>
        <v/>
      </c>
      <c r="U47" s="14">
        <f>IFERROR(VLOOKUP($D47,Equipos!$A:$H,6,0),"")</f>
        <v/>
      </c>
      <c r="V47" s="14">
        <f>IFERROR(VLOOKUP($D47,Equipos!$A:$H,7,0),"")</f>
        <v/>
      </c>
      <c r="W47" s="14">
        <f>IFERROR(VLOOKUP($E47,Equipos!$A:$H,6,0),"")</f>
        <v/>
      </c>
      <c r="X47" s="14">
        <f>IFERROR(VLOOKUP($E47,Equipos!$A:$H,7,0),"")</f>
        <v/>
      </c>
      <c r="Y47" s="14">
        <f>IF(OR($U47="",$W47=""),"",MIN(3.6,MAX(1.8,Equipos!$O$2*SQRT($U47*$W47*$V47*$X47))))</f>
        <v/>
      </c>
      <c r="Z47" s="14">
        <f>IF(OR($Y47="",$T47=""),"",MAX(0.2,($Y47+$T47)/2))</f>
        <v/>
      </c>
      <c r="AA47" s="14">
        <f>IF(OR($Y47="",$T47=""),"",MAX(0.2,($Y47-$T47)/2))</f>
        <v/>
      </c>
      <c r="AE47" s="15">
        <f>IF($D47=AE$1,$R47,IF($E47=AE$1,$S47,AE46))</f>
        <v/>
      </c>
      <c r="AF47" s="15">
        <f>IF($D47=AF$1,$R47,IF($E47=AF$1,$S47,AF46))</f>
        <v/>
      </c>
      <c r="AG47" s="15">
        <f>IF($D47=AG$1,$R47,IF($E47=AG$1,$S47,AG46))</f>
        <v/>
      </c>
      <c r="AH47" s="15">
        <f>IF($D47=AH$1,$R47,IF($E47=AH$1,$S47,AH46))</f>
        <v/>
      </c>
      <c r="AI47" s="15">
        <f>IF($D47=AI$1,$R47,IF($E47=AI$1,$S47,AI46))</f>
        <v/>
      </c>
      <c r="AJ47" s="15">
        <f>IF($D47=AJ$1,$R47,IF($E47=AJ$1,$S47,AJ46))</f>
        <v/>
      </c>
      <c r="AK47" s="15">
        <f>IF($D47=AK$1,$R47,IF($E47=AK$1,$S47,AK46))</f>
        <v/>
      </c>
      <c r="AL47" s="15">
        <f>IF($D47=AL$1,$R47,IF($E47=AL$1,$S47,AL46))</f>
        <v/>
      </c>
      <c r="AM47" s="15">
        <f>IF($D47=AM$1,$R47,IF($E47=AM$1,$S47,AM46))</f>
        <v/>
      </c>
      <c r="AN47" s="15">
        <f>IF($D47=AN$1,$R47,IF($E47=AN$1,$S47,AN46))</f>
        <v/>
      </c>
      <c r="AO47" s="15">
        <f>IF($D47=AO$1,$R47,IF($E47=AO$1,$S47,AO46))</f>
        <v/>
      </c>
      <c r="AP47" s="15">
        <f>IF($D47=AP$1,$R47,IF($E47=AP$1,$S47,AP46))</f>
        <v/>
      </c>
      <c r="AQ47" s="15">
        <f>IF($D47=AQ$1,$R47,IF($E47=AQ$1,$S47,AQ46))</f>
        <v/>
      </c>
      <c r="AR47" s="15">
        <f>IF($D47=AR$1,$R47,IF($E47=AR$1,$S47,AR46))</f>
        <v/>
      </c>
      <c r="AS47" s="15">
        <f>IF($D47=AS$1,$R47,IF($E47=AS$1,$S47,AS46))</f>
        <v/>
      </c>
      <c r="AT47" s="15">
        <f>IF($D47=AT$1,$R47,IF($E47=AT$1,$S47,AT46))</f>
        <v/>
      </c>
      <c r="AU47" s="15">
        <f>IF($D47=AU$1,$R47,IF($E47=AU$1,$S47,AU46))</f>
        <v/>
      </c>
      <c r="AV47" s="15">
        <f>IF($D47=AV$1,$R47,IF($E47=AV$1,$S47,AV46))</f>
        <v/>
      </c>
      <c r="AW47" s="15">
        <f>IF($D47=AW$1,$R47,IF($E47=AW$1,$S47,AW46))</f>
        <v/>
      </c>
      <c r="AX47" s="15">
        <f>IF($D47=AX$1,$R47,IF($E47=AX$1,$S47,AX46))</f>
        <v/>
      </c>
      <c r="AY47" s="15">
        <f>IF($D47=AY$1,$R47,IF($E47=AY$1,$S47,AY46))</f>
        <v/>
      </c>
      <c r="AZ47" s="15">
        <f>IF($D47=AZ$1,$R47,IF($E47=AZ$1,$S47,AZ46))</f>
        <v/>
      </c>
      <c r="BA47" s="15">
        <f>IF($D47=BA$1,$R47,IF($E47=BA$1,$S47,BA46))</f>
        <v/>
      </c>
      <c r="BB47" s="15">
        <f>IF($D47=BB$1,$R47,IF($E47=BB$1,$S47,BB46))</f>
        <v/>
      </c>
      <c r="BC47" s="15">
        <f>IF($D47=BC$1,$R47,IF($E47=BC$1,$S47,BC46))</f>
        <v/>
      </c>
      <c r="BD47" s="15">
        <f>IF($D47=BD$1,$R47,IF($E47=BD$1,$S47,BD46))</f>
        <v/>
      </c>
      <c r="BE47" s="15">
        <f>IF($D47=BE$1,$R47,IF($E47=BE$1,$S47,BE46))</f>
        <v/>
      </c>
      <c r="BF47" s="15">
        <f>IF($D47=BF$1,$R47,IF($E47=BF$1,$S47,BF46))</f>
        <v/>
      </c>
      <c r="BG47" s="15">
        <f>IF($D47=BG$1,$R47,IF($E47=BG$1,$S47,BG46))</f>
        <v/>
      </c>
      <c r="BH47" s="15">
        <f>IF($D47=BH$1,$R47,IF($E47=BH$1,$S47,BH46))</f>
        <v/>
      </c>
      <c r="BI47" s="15">
        <f>IF($D47=BI$1,$R47,IF($E47=BI$1,$S47,BI46))</f>
        <v/>
      </c>
      <c r="BJ47" s="15">
        <f>IF($D47=BJ$1,$R47,IF($E47=BJ$1,$S47,BJ46))</f>
        <v/>
      </c>
      <c r="BK47" s="15">
        <f>IF($D47=BK$1,$R47,IF($E47=BK$1,$S47,BK46))</f>
        <v/>
      </c>
      <c r="BL47" s="15">
        <f>IF($D47=BL$1,$R47,IF($E47=BL$1,$S47,BL46))</f>
        <v/>
      </c>
      <c r="BM47" s="15">
        <f>IF($D47=BM$1,$R47,IF($E47=BM$1,$S47,BM46))</f>
        <v/>
      </c>
      <c r="BN47" s="15">
        <f>IF($D47=BN$1,$R47,IF($E47=BN$1,$S47,BN46))</f>
        <v/>
      </c>
      <c r="BO47" s="15">
        <f>IF($D47=BO$1,$R47,IF($E47=BO$1,$S47,BO46))</f>
        <v/>
      </c>
      <c r="BP47" s="15">
        <f>IF($D47=BP$1,$R47,IF($E47=BP$1,$S47,BP46))</f>
        <v/>
      </c>
      <c r="BQ47" s="15">
        <f>IF($D47=BQ$1,$R47,IF($E47=BQ$1,$S47,BQ46))</f>
        <v/>
      </c>
      <c r="BR47" s="15">
        <f>IF($D47=BR$1,$R47,IF($E47=BR$1,$S47,BR46))</f>
        <v/>
      </c>
      <c r="BS47" s="15">
        <f>IF($D47=BS$1,$R47,IF($E47=BS$1,$S47,BS46))</f>
        <v/>
      </c>
      <c r="BT47" s="15">
        <f>IF($D47=BT$1,$R47,IF($E47=BT$1,$S47,BT46))</f>
        <v/>
      </c>
      <c r="BU47" s="15">
        <f>IF($D47=BU$1,$R47,IF($E47=BU$1,$S47,BU46))</f>
        <v/>
      </c>
      <c r="BV47" s="15">
        <f>IF($D47=BV$1,$R47,IF($E47=BV$1,$S47,BV46))</f>
        <v/>
      </c>
      <c r="BW47" s="15">
        <f>IF($D47=BW$1,$R47,IF($E47=BW$1,$S47,BW46))</f>
        <v/>
      </c>
      <c r="BX47" s="15">
        <f>IF($D47=BX$1,$R47,IF($E47=BX$1,$S47,BX46))</f>
        <v/>
      </c>
      <c r="BY47" s="15">
        <f>IF($D47=BY$1,$R47,IF($E47=BY$1,$S47,BY46))</f>
        <v/>
      </c>
      <c r="BZ47" s="15">
        <f>IF($D47=BZ$1,$R47,IF($E47=BZ$1,$S47,BZ46))</f>
        <v/>
      </c>
    </row>
    <row r="48" ht="15" customHeight="1">
      <c r="A48" s="7">
        <f>Fixture!A47</f>
        <v/>
      </c>
      <c r="B48" s="7">
        <f>Fixture!B47</f>
        <v/>
      </c>
      <c r="C48" s="7">
        <f>Fixture!C47</f>
        <v/>
      </c>
      <c r="D48" s="7">
        <f>Fixture!E47</f>
        <v/>
      </c>
      <c r="E48" s="7">
        <f>Fixture!F47</f>
        <v/>
      </c>
      <c r="F48" s="7">
        <f>Fixture!J47</f>
        <v/>
      </c>
      <c r="G48" s="7">
        <f>Fixture!K47</f>
        <v/>
      </c>
      <c r="H48" s="7">
        <f>IF(ISNUMBER(Resultados!B47),1,0)</f>
        <v/>
      </c>
      <c r="I48" s="7">
        <f>IF($H48=1,Resultados!B47,0)</f>
        <v/>
      </c>
      <c r="J48" s="7">
        <f>IF($H48=1,Resultados!C47,0)</f>
        <v/>
      </c>
      <c r="K48" s="12">
        <f>IFERROR(INDEX($AE47:$BZ47,MATCH($D48,$AE$1:$BZ$1,0)),"")</f>
        <v/>
      </c>
      <c r="L48" s="12">
        <f>IFERROR(INDEX($AE47:$BZ47,MATCH($E48,$AE$1:$BZ$1,0)),"")</f>
        <v/>
      </c>
      <c r="M48" s="12">
        <f>IF(OR($K48="",$L48=""),"",($K48+100*$F48)-($L48+100*$G48))</f>
        <v/>
      </c>
      <c r="N48" s="13">
        <f>IF($M48="","",1/(1+10^(-$M48/400)))</f>
        <v/>
      </c>
      <c r="O48" s="7">
        <f>IF(OR($H48=0,$N48=""),"",IF($I48&gt;$J48,1,IF($I48=$J48,0.5,0)))</f>
        <v/>
      </c>
      <c r="P48" s="14">
        <f>IF($O48="","",IF(ABS($I48-$J48)&lt;=1,1,IF(ABS($I48-$J48)=2,1.5,IF(ABS($I48-$J48)=3,1.75,1.75+(ABS($I48-$J48)-3)/8))))</f>
        <v/>
      </c>
      <c r="Q48" s="14">
        <f>IF($O48="",0,Equipos!$O$4*$P48*($O48-$N48))</f>
        <v/>
      </c>
      <c r="R48" s="12">
        <f>IF($K48="","",$K48+$Q48)</f>
        <v/>
      </c>
      <c r="S48" s="12">
        <f>IF($L48="","",$L48-$Q48)</f>
        <v/>
      </c>
      <c r="T48" s="14">
        <f>IF($M48="","",Equipos!$O$3*$M48)</f>
        <v/>
      </c>
      <c r="U48" s="14">
        <f>IFERROR(VLOOKUP($D48,Equipos!$A:$H,6,0),"")</f>
        <v/>
      </c>
      <c r="V48" s="14">
        <f>IFERROR(VLOOKUP($D48,Equipos!$A:$H,7,0),"")</f>
        <v/>
      </c>
      <c r="W48" s="14">
        <f>IFERROR(VLOOKUP($E48,Equipos!$A:$H,6,0),"")</f>
        <v/>
      </c>
      <c r="X48" s="14">
        <f>IFERROR(VLOOKUP($E48,Equipos!$A:$H,7,0),"")</f>
        <v/>
      </c>
      <c r="Y48" s="14">
        <f>IF(OR($U48="",$W48=""),"",MIN(3.6,MAX(1.8,Equipos!$O$2*SQRT($U48*$W48*$V48*$X48))))</f>
        <v/>
      </c>
      <c r="Z48" s="14">
        <f>IF(OR($Y48="",$T48=""),"",MAX(0.2,($Y48+$T48)/2))</f>
        <v/>
      </c>
      <c r="AA48" s="14">
        <f>IF(OR($Y48="",$T48=""),"",MAX(0.2,($Y48-$T48)/2))</f>
        <v/>
      </c>
      <c r="AE48" s="15">
        <f>IF($D48=AE$1,$R48,IF($E48=AE$1,$S48,AE47))</f>
        <v/>
      </c>
      <c r="AF48" s="15">
        <f>IF($D48=AF$1,$R48,IF($E48=AF$1,$S48,AF47))</f>
        <v/>
      </c>
      <c r="AG48" s="15">
        <f>IF($D48=AG$1,$R48,IF($E48=AG$1,$S48,AG47))</f>
        <v/>
      </c>
      <c r="AH48" s="15">
        <f>IF($D48=AH$1,$R48,IF($E48=AH$1,$S48,AH47))</f>
        <v/>
      </c>
      <c r="AI48" s="15">
        <f>IF($D48=AI$1,$R48,IF($E48=AI$1,$S48,AI47))</f>
        <v/>
      </c>
      <c r="AJ48" s="15">
        <f>IF($D48=AJ$1,$R48,IF($E48=AJ$1,$S48,AJ47))</f>
        <v/>
      </c>
      <c r="AK48" s="15">
        <f>IF($D48=AK$1,$R48,IF($E48=AK$1,$S48,AK47))</f>
        <v/>
      </c>
      <c r="AL48" s="15">
        <f>IF($D48=AL$1,$R48,IF($E48=AL$1,$S48,AL47))</f>
        <v/>
      </c>
      <c r="AM48" s="15">
        <f>IF($D48=AM$1,$R48,IF($E48=AM$1,$S48,AM47))</f>
        <v/>
      </c>
      <c r="AN48" s="15">
        <f>IF($D48=AN$1,$R48,IF($E48=AN$1,$S48,AN47))</f>
        <v/>
      </c>
      <c r="AO48" s="15">
        <f>IF($D48=AO$1,$R48,IF($E48=AO$1,$S48,AO47))</f>
        <v/>
      </c>
      <c r="AP48" s="15">
        <f>IF($D48=AP$1,$R48,IF($E48=AP$1,$S48,AP47))</f>
        <v/>
      </c>
      <c r="AQ48" s="15">
        <f>IF($D48=AQ$1,$R48,IF($E48=AQ$1,$S48,AQ47))</f>
        <v/>
      </c>
      <c r="AR48" s="15">
        <f>IF($D48=AR$1,$R48,IF($E48=AR$1,$S48,AR47))</f>
        <v/>
      </c>
      <c r="AS48" s="15">
        <f>IF($D48=AS$1,$R48,IF($E48=AS$1,$S48,AS47))</f>
        <v/>
      </c>
      <c r="AT48" s="15">
        <f>IF($D48=AT$1,$R48,IF($E48=AT$1,$S48,AT47))</f>
        <v/>
      </c>
      <c r="AU48" s="15">
        <f>IF($D48=AU$1,$R48,IF($E48=AU$1,$S48,AU47))</f>
        <v/>
      </c>
      <c r="AV48" s="15">
        <f>IF($D48=AV$1,$R48,IF($E48=AV$1,$S48,AV47))</f>
        <v/>
      </c>
      <c r="AW48" s="15">
        <f>IF($D48=AW$1,$R48,IF($E48=AW$1,$S48,AW47))</f>
        <v/>
      </c>
      <c r="AX48" s="15">
        <f>IF($D48=AX$1,$R48,IF($E48=AX$1,$S48,AX47))</f>
        <v/>
      </c>
      <c r="AY48" s="15">
        <f>IF($D48=AY$1,$R48,IF($E48=AY$1,$S48,AY47))</f>
        <v/>
      </c>
      <c r="AZ48" s="15">
        <f>IF($D48=AZ$1,$R48,IF($E48=AZ$1,$S48,AZ47))</f>
        <v/>
      </c>
      <c r="BA48" s="15">
        <f>IF($D48=BA$1,$R48,IF($E48=BA$1,$S48,BA47))</f>
        <v/>
      </c>
      <c r="BB48" s="15">
        <f>IF($D48=BB$1,$R48,IF($E48=BB$1,$S48,BB47))</f>
        <v/>
      </c>
      <c r="BC48" s="15">
        <f>IF($D48=BC$1,$R48,IF($E48=BC$1,$S48,BC47))</f>
        <v/>
      </c>
      <c r="BD48" s="15">
        <f>IF($D48=BD$1,$R48,IF($E48=BD$1,$S48,BD47))</f>
        <v/>
      </c>
      <c r="BE48" s="15">
        <f>IF($D48=BE$1,$R48,IF($E48=BE$1,$S48,BE47))</f>
        <v/>
      </c>
      <c r="BF48" s="15">
        <f>IF($D48=BF$1,$R48,IF($E48=BF$1,$S48,BF47))</f>
        <v/>
      </c>
      <c r="BG48" s="15">
        <f>IF($D48=BG$1,$R48,IF($E48=BG$1,$S48,BG47))</f>
        <v/>
      </c>
      <c r="BH48" s="15">
        <f>IF($D48=BH$1,$R48,IF($E48=BH$1,$S48,BH47))</f>
        <v/>
      </c>
      <c r="BI48" s="15">
        <f>IF($D48=BI$1,$R48,IF($E48=BI$1,$S48,BI47))</f>
        <v/>
      </c>
      <c r="BJ48" s="15">
        <f>IF($D48=BJ$1,$R48,IF($E48=BJ$1,$S48,BJ47))</f>
        <v/>
      </c>
      <c r="BK48" s="15">
        <f>IF($D48=BK$1,$R48,IF($E48=BK$1,$S48,BK47))</f>
        <v/>
      </c>
      <c r="BL48" s="15">
        <f>IF($D48=BL$1,$R48,IF($E48=BL$1,$S48,BL47))</f>
        <v/>
      </c>
      <c r="BM48" s="15">
        <f>IF($D48=BM$1,$R48,IF($E48=BM$1,$S48,BM47))</f>
        <v/>
      </c>
      <c r="BN48" s="15">
        <f>IF($D48=BN$1,$R48,IF($E48=BN$1,$S48,BN47))</f>
        <v/>
      </c>
      <c r="BO48" s="15">
        <f>IF($D48=BO$1,$R48,IF($E48=BO$1,$S48,BO47))</f>
        <v/>
      </c>
      <c r="BP48" s="15">
        <f>IF($D48=BP$1,$R48,IF($E48=BP$1,$S48,BP47))</f>
        <v/>
      </c>
      <c r="BQ48" s="15">
        <f>IF($D48=BQ$1,$R48,IF($E48=BQ$1,$S48,BQ47))</f>
        <v/>
      </c>
      <c r="BR48" s="15">
        <f>IF($D48=BR$1,$R48,IF($E48=BR$1,$S48,BR47))</f>
        <v/>
      </c>
      <c r="BS48" s="15">
        <f>IF($D48=BS$1,$R48,IF($E48=BS$1,$S48,BS47))</f>
        <v/>
      </c>
      <c r="BT48" s="15">
        <f>IF($D48=BT$1,$R48,IF($E48=BT$1,$S48,BT47))</f>
        <v/>
      </c>
      <c r="BU48" s="15">
        <f>IF($D48=BU$1,$R48,IF($E48=BU$1,$S48,BU47))</f>
        <v/>
      </c>
      <c r="BV48" s="15">
        <f>IF($D48=BV$1,$R48,IF($E48=BV$1,$S48,BV47))</f>
        <v/>
      </c>
      <c r="BW48" s="15">
        <f>IF($D48=BW$1,$R48,IF($E48=BW$1,$S48,BW47))</f>
        <v/>
      </c>
      <c r="BX48" s="15">
        <f>IF($D48=BX$1,$R48,IF($E48=BX$1,$S48,BX47))</f>
        <v/>
      </c>
      <c r="BY48" s="15">
        <f>IF($D48=BY$1,$R48,IF($E48=BY$1,$S48,BY47))</f>
        <v/>
      </c>
      <c r="BZ48" s="15">
        <f>IF($D48=BZ$1,$R48,IF($E48=BZ$1,$S48,BZ47))</f>
        <v/>
      </c>
    </row>
    <row r="49" ht="15" customHeight="1">
      <c r="A49" s="7">
        <f>Fixture!A48</f>
        <v/>
      </c>
      <c r="B49" s="7">
        <f>Fixture!B48</f>
        <v/>
      </c>
      <c r="C49" s="7">
        <f>Fixture!C48</f>
        <v/>
      </c>
      <c r="D49" s="7">
        <f>Fixture!E48</f>
        <v/>
      </c>
      <c r="E49" s="7">
        <f>Fixture!F48</f>
        <v/>
      </c>
      <c r="F49" s="7">
        <f>Fixture!J48</f>
        <v/>
      </c>
      <c r="G49" s="7">
        <f>Fixture!K48</f>
        <v/>
      </c>
      <c r="H49" s="7">
        <f>IF(ISNUMBER(Resultados!B48),1,0)</f>
        <v/>
      </c>
      <c r="I49" s="7">
        <f>IF($H49=1,Resultados!B48,0)</f>
        <v/>
      </c>
      <c r="J49" s="7">
        <f>IF($H49=1,Resultados!C48,0)</f>
        <v/>
      </c>
      <c r="K49" s="12">
        <f>IFERROR(INDEX($AE48:$BZ48,MATCH($D49,$AE$1:$BZ$1,0)),"")</f>
        <v/>
      </c>
      <c r="L49" s="12">
        <f>IFERROR(INDEX($AE48:$BZ48,MATCH($E49,$AE$1:$BZ$1,0)),"")</f>
        <v/>
      </c>
      <c r="M49" s="12">
        <f>IF(OR($K49="",$L49=""),"",($K49+100*$F49)-($L49+100*$G49))</f>
        <v/>
      </c>
      <c r="N49" s="13">
        <f>IF($M49="","",1/(1+10^(-$M49/400)))</f>
        <v/>
      </c>
      <c r="O49" s="7">
        <f>IF(OR($H49=0,$N49=""),"",IF($I49&gt;$J49,1,IF($I49=$J49,0.5,0)))</f>
        <v/>
      </c>
      <c r="P49" s="14">
        <f>IF($O49="","",IF(ABS($I49-$J49)&lt;=1,1,IF(ABS($I49-$J49)=2,1.5,IF(ABS($I49-$J49)=3,1.75,1.75+(ABS($I49-$J49)-3)/8))))</f>
        <v/>
      </c>
      <c r="Q49" s="14">
        <f>IF($O49="",0,Equipos!$O$4*$P49*($O49-$N49))</f>
        <v/>
      </c>
      <c r="R49" s="12">
        <f>IF($K49="","",$K49+$Q49)</f>
        <v/>
      </c>
      <c r="S49" s="12">
        <f>IF($L49="","",$L49-$Q49)</f>
        <v/>
      </c>
      <c r="T49" s="14">
        <f>IF($M49="","",Equipos!$O$3*$M49)</f>
        <v/>
      </c>
      <c r="U49" s="14">
        <f>IFERROR(VLOOKUP($D49,Equipos!$A:$H,6,0),"")</f>
        <v/>
      </c>
      <c r="V49" s="14">
        <f>IFERROR(VLOOKUP($D49,Equipos!$A:$H,7,0),"")</f>
        <v/>
      </c>
      <c r="W49" s="14">
        <f>IFERROR(VLOOKUP($E49,Equipos!$A:$H,6,0),"")</f>
        <v/>
      </c>
      <c r="X49" s="14">
        <f>IFERROR(VLOOKUP($E49,Equipos!$A:$H,7,0),"")</f>
        <v/>
      </c>
      <c r="Y49" s="14">
        <f>IF(OR($U49="",$W49=""),"",MIN(3.6,MAX(1.8,Equipos!$O$2*SQRT($U49*$W49*$V49*$X49))))</f>
        <v/>
      </c>
      <c r="Z49" s="14">
        <f>IF(OR($Y49="",$T49=""),"",MAX(0.2,($Y49+$T49)/2))</f>
        <v/>
      </c>
      <c r="AA49" s="14">
        <f>IF(OR($Y49="",$T49=""),"",MAX(0.2,($Y49-$T49)/2))</f>
        <v/>
      </c>
      <c r="AE49" s="15">
        <f>IF($D49=AE$1,$R49,IF($E49=AE$1,$S49,AE48))</f>
        <v/>
      </c>
      <c r="AF49" s="15">
        <f>IF($D49=AF$1,$R49,IF($E49=AF$1,$S49,AF48))</f>
        <v/>
      </c>
      <c r="AG49" s="15">
        <f>IF($D49=AG$1,$R49,IF($E49=AG$1,$S49,AG48))</f>
        <v/>
      </c>
      <c r="AH49" s="15">
        <f>IF($D49=AH$1,$R49,IF($E49=AH$1,$S49,AH48))</f>
        <v/>
      </c>
      <c r="AI49" s="15">
        <f>IF($D49=AI$1,$R49,IF($E49=AI$1,$S49,AI48))</f>
        <v/>
      </c>
      <c r="AJ49" s="15">
        <f>IF($D49=AJ$1,$R49,IF($E49=AJ$1,$S49,AJ48))</f>
        <v/>
      </c>
      <c r="AK49" s="15">
        <f>IF($D49=AK$1,$R49,IF($E49=AK$1,$S49,AK48))</f>
        <v/>
      </c>
      <c r="AL49" s="15">
        <f>IF($D49=AL$1,$R49,IF($E49=AL$1,$S49,AL48))</f>
        <v/>
      </c>
      <c r="AM49" s="15">
        <f>IF($D49=AM$1,$R49,IF($E49=AM$1,$S49,AM48))</f>
        <v/>
      </c>
      <c r="AN49" s="15">
        <f>IF($D49=AN$1,$R49,IF($E49=AN$1,$S49,AN48))</f>
        <v/>
      </c>
      <c r="AO49" s="15">
        <f>IF($D49=AO$1,$R49,IF($E49=AO$1,$S49,AO48))</f>
        <v/>
      </c>
      <c r="AP49" s="15">
        <f>IF($D49=AP$1,$R49,IF($E49=AP$1,$S49,AP48))</f>
        <v/>
      </c>
      <c r="AQ49" s="15">
        <f>IF($D49=AQ$1,$R49,IF($E49=AQ$1,$S49,AQ48))</f>
        <v/>
      </c>
      <c r="AR49" s="15">
        <f>IF($D49=AR$1,$R49,IF($E49=AR$1,$S49,AR48))</f>
        <v/>
      </c>
      <c r="AS49" s="15">
        <f>IF($D49=AS$1,$R49,IF($E49=AS$1,$S49,AS48))</f>
        <v/>
      </c>
      <c r="AT49" s="15">
        <f>IF($D49=AT$1,$R49,IF($E49=AT$1,$S49,AT48))</f>
        <v/>
      </c>
      <c r="AU49" s="15">
        <f>IF($D49=AU$1,$R49,IF($E49=AU$1,$S49,AU48))</f>
        <v/>
      </c>
      <c r="AV49" s="15">
        <f>IF($D49=AV$1,$R49,IF($E49=AV$1,$S49,AV48))</f>
        <v/>
      </c>
      <c r="AW49" s="15">
        <f>IF($D49=AW$1,$R49,IF($E49=AW$1,$S49,AW48))</f>
        <v/>
      </c>
      <c r="AX49" s="15">
        <f>IF($D49=AX$1,$R49,IF($E49=AX$1,$S49,AX48))</f>
        <v/>
      </c>
      <c r="AY49" s="15">
        <f>IF($D49=AY$1,$R49,IF($E49=AY$1,$S49,AY48))</f>
        <v/>
      </c>
      <c r="AZ49" s="15">
        <f>IF($D49=AZ$1,$R49,IF($E49=AZ$1,$S49,AZ48))</f>
        <v/>
      </c>
      <c r="BA49" s="15">
        <f>IF($D49=BA$1,$R49,IF($E49=BA$1,$S49,BA48))</f>
        <v/>
      </c>
      <c r="BB49" s="15">
        <f>IF($D49=BB$1,$R49,IF($E49=BB$1,$S49,BB48))</f>
        <v/>
      </c>
      <c r="BC49" s="15">
        <f>IF($D49=BC$1,$R49,IF($E49=BC$1,$S49,BC48))</f>
        <v/>
      </c>
      <c r="BD49" s="15">
        <f>IF($D49=BD$1,$R49,IF($E49=BD$1,$S49,BD48))</f>
        <v/>
      </c>
      <c r="BE49" s="15">
        <f>IF($D49=BE$1,$R49,IF($E49=BE$1,$S49,BE48))</f>
        <v/>
      </c>
      <c r="BF49" s="15">
        <f>IF($D49=BF$1,$R49,IF($E49=BF$1,$S49,BF48))</f>
        <v/>
      </c>
      <c r="BG49" s="15">
        <f>IF($D49=BG$1,$R49,IF($E49=BG$1,$S49,BG48))</f>
        <v/>
      </c>
      <c r="BH49" s="15">
        <f>IF($D49=BH$1,$R49,IF($E49=BH$1,$S49,BH48))</f>
        <v/>
      </c>
      <c r="BI49" s="15">
        <f>IF($D49=BI$1,$R49,IF($E49=BI$1,$S49,BI48))</f>
        <v/>
      </c>
      <c r="BJ49" s="15">
        <f>IF($D49=BJ$1,$R49,IF($E49=BJ$1,$S49,BJ48))</f>
        <v/>
      </c>
      <c r="BK49" s="15">
        <f>IF($D49=BK$1,$R49,IF($E49=BK$1,$S49,BK48))</f>
        <v/>
      </c>
      <c r="BL49" s="15">
        <f>IF($D49=BL$1,$R49,IF($E49=BL$1,$S49,BL48))</f>
        <v/>
      </c>
      <c r="BM49" s="15">
        <f>IF($D49=BM$1,$R49,IF($E49=BM$1,$S49,BM48))</f>
        <v/>
      </c>
      <c r="BN49" s="15">
        <f>IF($D49=BN$1,$R49,IF($E49=BN$1,$S49,BN48))</f>
        <v/>
      </c>
      <c r="BO49" s="15">
        <f>IF($D49=BO$1,$R49,IF($E49=BO$1,$S49,BO48))</f>
        <v/>
      </c>
      <c r="BP49" s="15">
        <f>IF($D49=BP$1,$R49,IF($E49=BP$1,$S49,BP48))</f>
        <v/>
      </c>
      <c r="BQ49" s="15">
        <f>IF($D49=BQ$1,$R49,IF($E49=BQ$1,$S49,BQ48))</f>
        <v/>
      </c>
      <c r="BR49" s="15">
        <f>IF($D49=BR$1,$R49,IF($E49=BR$1,$S49,BR48))</f>
        <v/>
      </c>
      <c r="BS49" s="15">
        <f>IF($D49=BS$1,$R49,IF($E49=BS$1,$S49,BS48))</f>
        <v/>
      </c>
      <c r="BT49" s="15">
        <f>IF($D49=BT$1,$R49,IF($E49=BT$1,$S49,BT48))</f>
        <v/>
      </c>
      <c r="BU49" s="15">
        <f>IF($D49=BU$1,$R49,IF($E49=BU$1,$S49,BU48))</f>
        <v/>
      </c>
      <c r="BV49" s="15">
        <f>IF($D49=BV$1,$R49,IF($E49=BV$1,$S49,BV48))</f>
        <v/>
      </c>
      <c r="BW49" s="15">
        <f>IF($D49=BW$1,$R49,IF($E49=BW$1,$S49,BW48))</f>
        <v/>
      </c>
      <c r="BX49" s="15">
        <f>IF($D49=BX$1,$R49,IF($E49=BX$1,$S49,BX48))</f>
        <v/>
      </c>
      <c r="BY49" s="15">
        <f>IF($D49=BY$1,$R49,IF($E49=BY$1,$S49,BY48))</f>
        <v/>
      </c>
      <c r="BZ49" s="15">
        <f>IF($D49=BZ$1,$R49,IF($E49=BZ$1,$S49,BZ48))</f>
        <v/>
      </c>
    </row>
    <row r="50" ht="15" customHeight="1">
      <c r="A50" s="7">
        <f>Fixture!A49</f>
        <v/>
      </c>
      <c r="B50" s="7">
        <f>Fixture!B49</f>
        <v/>
      </c>
      <c r="C50" s="7">
        <f>Fixture!C49</f>
        <v/>
      </c>
      <c r="D50" s="7">
        <f>Fixture!E49</f>
        <v/>
      </c>
      <c r="E50" s="7">
        <f>Fixture!F49</f>
        <v/>
      </c>
      <c r="F50" s="7">
        <f>Fixture!J49</f>
        <v/>
      </c>
      <c r="G50" s="7">
        <f>Fixture!K49</f>
        <v/>
      </c>
      <c r="H50" s="7">
        <f>IF(ISNUMBER(Resultados!B49),1,0)</f>
        <v/>
      </c>
      <c r="I50" s="7">
        <f>IF($H50=1,Resultados!B49,0)</f>
        <v/>
      </c>
      <c r="J50" s="7">
        <f>IF($H50=1,Resultados!C49,0)</f>
        <v/>
      </c>
      <c r="K50" s="12">
        <f>IFERROR(INDEX($AE49:$BZ49,MATCH($D50,$AE$1:$BZ$1,0)),"")</f>
        <v/>
      </c>
      <c r="L50" s="12">
        <f>IFERROR(INDEX($AE49:$BZ49,MATCH($E50,$AE$1:$BZ$1,0)),"")</f>
        <v/>
      </c>
      <c r="M50" s="12">
        <f>IF(OR($K50="",$L50=""),"",($K50+100*$F50)-($L50+100*$G50))</f>
        <v/>
      </c>
      <c r="N50" s="13">
        <f>IF($M50="","",1/(1+10^(-$M50/400)))</f>
        <v/>
      </c>
      <c r="O50" s="7">
        <f>IF(OR($H50=0,$N50=""),"",IF($I50&gt;$J50,1,IF($I50=$J50,0.5,0)))</f>
        <v/>
      </c>
      <c r="P50" s="14">
        <f>IF($O50="","",IF(ABS($I50-$J50)&lt;=1,1,IF(ABS($I50-$J50)=2,1.5,IF(ABS($I50-$J50)=3,1.75,1.75+(ABS($I50-$J50)-3)/8))))</f>
        <v/>
      </c>
      <c r="Q50" s="14">
        <f>IF($O50="",0,Equipos!$O$4*$P50*($O50-$N50))</f>
        <v/>
      </c>
      <c r="R50" s="12">
        <f>IF($K50="","",$K50+$Q50)</f>
        <v/>
      </c>
      <c r="S50" s="12">
        <f>IF($L50="","",$L50-$Q50)</f>
        <v/>
      </c>
      <c r="T50" s="14">
        <f>IF($M50="","",Equipos!$O$3*$M50)</f>
        <v/>
      </c>
      <c r="U50" s="14">
        <f>IFERROR(VLOOKUP($D50,Equipos!$A:$H,6,0),"")</f>
        <v/>
      </c>
      <c r="V50" s="14">
        <f>IFERROR(VLOOKUP($D50,Equipos!$A:$H,7,0),"")</f>
        <v/>
      </c>
      <c r="W50" s="14">
        <f>IFERROR(VLOOKUP($E50,Equipos!$A:$H,6,0),"")</f>
        <v/>
      </c>
      <c r="X50" s="14">
        <f>IFERROR(VLOOKUP($E50,Equipos!$A:$H,7,0),"")</f>
        <v/>
      </c>
      <c r="Y50" s="14">
        <f>IF(OR($U50="",$W50=""),"",MIN(3.6,MAX(1.8,Equipos!$O$2*SQRT($U50*$W50*$V50*$X50))))</f>
        <v/>
      </c>
      <c r="Z50" s="14">
        <f>IF(OR($Y50="",$T50=""),"",MAX(0.2,($Y50+$T50)/2))</f>
        <v/>
      </c>
      <c r="AA50" s="14">
        <f>IF(OR($Y50="",$T50=""),"",MAX(0.2,($Y50-$T50)/2))</f>
        <v/>
      </c>
      <c r="AE50" s="15">
        <f>IF($D50=AE$1,$R50,IF($E50=AE$1,$S50,AE49))</f>
        <v/>
      </c>
      <c r="AF50" s="15">
        <f>IF($D50=AF$1,$R50,IF($E50=AF$1,$S50,AF49))</f>
        <v/>
      </c>
      <c r="AG50" s="15">
        <f>IF($D50=AG$1,$R50,IF($E50=AG$1,$S50,AG49))</f>
        <v/>
      </c>
      <c r="AH50" s="15">
        <f>IF($D50=AH$1,$R50,IF($E50=AH$1,$S50,AH49))</f>
        <v/>
      </c>
      <c r="AI50" s="15">
        <f>IF($D50=AI$1,$R50,IF($E50=AI$1,$S50,AI49))</f>
        <v/>
      </c>
      <c r="AJ50" s="15">
        <f>IF($D50=AJ$1,$R50,IF($E50=AJ$1,$S50,AJ49))</f>
        <v/>
      </c>
      <c r="AK50" s="15">
        <f>IF($D50=AK$1,$R50,IF($E50=AK$1,$S50,AK49))</f>
        <v/>
      </c>
      <c r="AL50" s="15">
        <f>IF($D50=AL$1,$R50,IF($E50=AL$1,$S50,AL49))</f>
        <v/>
      </c>
      <c r="AM50" s="15">
        <f>IF($D50=AM$1,$R50,IF($E50=AM$1,$S50,AM49))</f>
        <v/>
      </c>
      <c r="AN50" s="15">
        <f>IF($D50=AN$1,$R50,IF($E50=AN$1,$S50,AN49))</f>
        <v/>
      </c>
      <c r="AO50" s="15">
        <f>IF($D50=AO$1,$R50,IF($E50=AO$1,$S50,AO49))</f>
        <v/>
      </c>
      <c r="AP50" s="15">
        <f>IF($D50=AP$1,$R50,IF($E50=AP$1,$S50,AP49))</f>
        <v/>
      </c>
      <c r="AQ50" s="15">
        <f>IF($D50=AQ$1,$R50,IF($E50=AQ$1,$S50,AQ49))</f>
        <v/>
      </c>
      <c r="AR50" s="15">
        <f>IF($D50=AR$1,$R50,IF($E50=AR$1,$S50,AR49))</f>
        <v/>
      </c>
      <c r="AS50" s="15">
        <f>IF($D50=AS$1,$R50,IF($E50=AS$1,$S50,AS49))</f>
        <v/>
      </c>
      <c r="AT50" s="15">
        <f>IF($D50=AT$1,$R50,IF($E50=AT$1,$S50,AT49))</f>
        <v/>
      </c>
      <c r="AU50" s="15">
        <f>IF($D50=AU$1,$R50,IF($E50=AU$1,$S50,AU49))</f>
        <v/>
      </c>
      <c r="AV50" s="15">
        <f>IF($D50=AV$1,$R50,IF($E50=AV$1,$S50,AV49))</f>
        <v/>
      </c>
      <c r="AW50" s="15">
        <f>IF($D50=AW$1,$R50,IF($E50=AW$1,$S50,AW49))</f>
        <v/>
      </c>
      <c r="AX50" s="15">
        <f>IF($D50=AX$1,$R50,IF($E50=AX$1,$S50,AX49))</f>
        <v/>
      </c>
      <c r="AY50" s="15">
        <f>IF($D50=AY$1,$R50,IF($E50=AY$1,$S50,AY49))</f>
        <v/>
      </c>
      <c r="AZ50" s="15">
        <f>IF($D50=AZ$1,$R50,IF($E50=AZ$1,$S50,AZ49))</f>
        <v/>
      </c>
      <c r="BA50" s="15">
        <f>IF($D50=BA$1,$R50,IF($E50=BA$1,$S50,BA49))</f>
        <v/>
      </c>
      <c r="BB50" s="15">
        <f>IF($D50=BB$1,$R50,IF($E50=BB$1,$S50,BB49))</f>
        <v/>
      </c>
      <c r="BC50" s="15">
        <f>IF($D50=BC$1,$R50,IF($E50=BC$1,$S50,BC49))</f>
        <v/>
      </c>
      <c r="BD50" s="15">
        <f>IF($D50=BD$1,$R50,IF($E50=BD$1,$S50,BD49))</f>
        <v/>
      </c>
      <c r="BE50" s="15">
        <f>IF($D50=BE$1,$R50,IF($E50=BE$1,$S50,BE49))</f>
        <v/>
      </c>
      <c r="BF50" s="15">
        <f>IF($D50=BF$1,$R50,IF($E50=BF$1,$S50,BF49))</f>
        <v/>
      </c>
      <c r="BG50" s="15">
        <f>IF($D50=BG$1,$R50,IF($E50=BG$1,$S50,BG49))</f>
        <v/>
      </c>
      <c r="BH50" s="15">
        <f>IF($D50=BH$1,$R50,IF($E50=BH$1,$S50,BH49))</f>
        <v/>
      </c>
      <c r="BI50" s="15">
        <f>IF($D50=BI$1,$R50,IF($E50=BI$1,$S50,BI49))</f>
        <v/>
      </c>
      <c r="BJ50" s="15">
        <f>IF($D50=BJ$1,$R50,IF($E50=BJ$1,$S50,BJ49))</f>
        <v/>
      </c>
      <c r="BK50" s="15">
        <f>IF($D50=BK$1,$R50,IF($E50=BK$1,$S50,BK49))</f>
        <v/>
      </c>
      <c r="BL50" s="15">
        <f>IF($D50=BL$1,$R50,IF($E50=BL$1,$S50,BL49))</f>
        <v/>
      </c>
      <c r="BM50" s="15">
        <f>IF($D50=BM$1,$R50,IF($E50=BM$1,$S50,BM49))</f>
        <v/>
      </c>
      <c r="BN50" s="15">
        <f>IF($D50=BN$1,$R50,IF($E50=BN$1,$S50,BN49))</f>
        <v/>
      </c>
      <c r="BO50" s="15">
        <f>IF($D50=BO$1,$R50,IF($E50=BO$1,$S50,BO49))</f>
        <v/>
      </c>
      <c r="BP50" s="15">
        <f>IF($D50=BP$1,$R50,IF($E50=BP$1,$S50,BP49))</f>
        <v/>
      </c>
      <c r="BQ50" s="15">
        <f>IF($D50=BQ$1,$R50,IF($E50=BQ$1,$S50,BQ49))</f>
        <v/>
      </c>
      <c r="BR50" s="15">
        <f>IF($D50=BR$1,$R50,IF($E50=BR$1,$S50,BR49))</f>
        <v/>
      </c>
      <c r="BS50" s="15">
        <f>IF($D50=BS$1,$R50,IF($E50=BS$1,$S50,BS49))</f>
        <v/>
      </c>
      <c r="BT50" s="15">
        <f>IF($D50=BT$1,$R50,IF($E50=BT$1,$S50,BT49))</f>
        <v/>
      </c>
      <c r="BU50" s="15">
        <f>IF($D50=BU$1,$R50,IF($E50=BU$1,$S50,BU49))</f>
        <v/>
      </c>
      <c r="BV50" s="15">
        <f>IF($D50=BV$1,$R50,IF($E50=BV$1,$S50,BV49))</f>
        <v/>
      </c>
      <c r="BW50" s="15">
        <f>IF($D50=BW$1,$R50,IF($E50=BW$1,$S50,BW49))</f>
        <v/>
      </c>
      <c r="BX50" s="15">
        <f>IF($D50=BX$1,$R50,IF($E50=BX$1,$S50,BX49))</f>
        <v/>
      </c>
      <c r="BY50" s="15">
        <f>IF($D50=BY$1,$R50,IF($E50=BY$1,$S50,BY49))</f>
        <v/>
      </c>
      <c r="BZ50" s="15">
        <f>IF($D50=BZ$1,$R50,IF($E50=BZ$1,$S50,BZ49))</f>
        <v/>
      </c>
    </row>
    <row r="51" ht="15" customHeight="1">
      <c r="A51" s="7">
        <f>Fixture!A50</f>
        <v/>
      </c>
      <c r="B51" s="7">
        <f>Fixture!B50</f>
        <v/>
      </c>
      <c r="C51" s="7">
        <f>Fixture!C50</f>
        <v/>
      </c>
      <c r="D51" s="7">
        <f>Fixture!E50</f>
        <v/>
      </c>
      <c r="E51" s="7">
        <f>Fixture!F50</f>
        <v/>
      </c>
      <c r="F51" s="7">
        <f>Fixture!J50</f>
        <v/>
      </c>
      <c r="G51" s="7">
        <f>Fixture!K50</f>
        <v/>
      </c>
      <c r="H51" s="7">
        <f>IF(ISNUMBER(Resultados!B50),1,0)</f>
        <v/>
      </c>
      <c r="I51" s="7">
        <f>IF($H51=1,Resultados!B50,0)</f>
        <v/>
      </c>
      <c r="J51" s="7">
        <f>IF($H51=1,Resultados!C50,0)</f>
        <v/>
      </c>
      <c r="K51" s="12">
        <f>IFERROR(INDEX($AE50:$BZ50,MATCH($D51,$AE$1:$BZ$1,0)),"")</f>
        <v/>
      </c>
      <c r="L51" s="12">
        <f>IFERROR(INDEX($AE50:$BZ50,MATCH($E51,$AE$1:$BZ$1,0)),"")</f>
        <v/>
      </c>
      <c r="M51" s="12">
        <f>IF(OR($K51="",$L51=""),"",($K51+100*$F51)-($L51+100*$G51))</f>
        <v/>
      </c>
      <c r="N51" s="13">
        <f>IF($M51="","",1/(1+10^(-$M51/400)))</f>
        <v/>
      </c>
      <c r="O51" s="7">
        <f>IF(OR($H51=0,$N51=""),"",IF($I51&gt;$J51,1,IF($I51=$J51,0.5,0)))</f>
        <v/>
      </c>
      <c r="P51" s="14">
        <f>IF($O51="","",IF(ABS($I51-$J51)&lt;=1,1,IF(ABS($I51-$J51)=2,1.5,IF(ABS($I51-$J51)=3,1.75,1.75+(ABS($I51-$J51)-3)/8))))</f>
        <v/>
      </c>
      <c r="Q51" s="14">
        <f>IF($O51="",0,Equipos!$O$4*$P51*($O51-$N51))</f>
        <v/>
      </c>
      <c r="R51" s="12">
        <f>IF($K51="","",$K51+$Q51)</f>
        <v/>
      </c>
      <c r="S51" s="12">
        <f>IF($L51="","",$L51-$Q51)</f>
        <v/>
      </c>
      <c r="T51" s="14">
        <f>IF($M51="","",Equipos!$O$3*$M51)</f>
        <v/>
      </c>
      <c r="U51" s="14">
        <f>IFERROR(VLOOKUP($D51,Equipos!$A:$H,6,0),"")</f>
        <v/>
      </c>
      <c r="V51" s="14">
        <f>IFERROR(VLOOKUP($D51,Equipos!$A:$H,7,0),"")</f>
        <v/>
      </c>
      <c r="W51" s="14">
        <f>IFERROR(VLOOKUP($E51,Equipos!$A:$H,6,0),"")</f>
        <v/>
      </c>
      <c r="X51" s="14">
        <f>IFERROR(VLOOKUP($E51,Equipos!$A:$H,7,0),"")</f>
        <v/>
      </c>
      <c r="Y51" s="14">
        <f>IF(OR($U51="",$W51=""),"",MIN(3.6,MAX(1.8,Equipos!$O$2*SQRT($U51*$W51*$V51*$X51))))</f>
        <v/>
      </c>
      <c r="Z51" s="14">
        <f>IF(OR($Y51="",$T51=""),"",MAX(0.2,($Y51+$T51)/2))</f>
        <v/>
      </c>
      <c r="AA51" s="14">
        <f>IF(OR($Y51="",$T51=""),"",MAX(0.2,($Y51-$T51)/2))</f>
        <v/>
      </c>
      <c r="AE51" s="15">
        <f>IF($D51=AE$1,$R51,IF($E51=AE$1,$S51,AE50))</f>
        <v/>
      </c>
      <c r="AF51" s="15">
        <f>IF($D51=AF$1,$R51,IF($E51=AF$1,$S51,AF50))</f>
        <v/>
      </c>
      <c r="AG51" s="15">
        <f>IF($D51=AG$1,$R51,IF($E51=AG$1,$S51,AG50))</f>
        <v/>
      </c>
      <c r="AH51" s="15">
        <f>IF($D51=AH$1,$R51,IF($E51=AH$1,$S51,AH50))</f>
        <v/>
      </c>
      <c r="AI51" s="15">
        <f>IF($D51=AI$1,$R51,IF($E51=AI$1,$S51,AI50))</f>
        <v/>
      </c>
      <c r="AJ51" s="15">
        <f>IF($D51=AJ$1,$R51,IF($E51=AJ$1,$S51,AJ50))</f>
        <v/>
      </c>
      <c r="AK51" s="15">
        <f>IF($D51=AK$1,$R51,IF($E51=AK$1,$S51,AK50))</f>
        <v/>
      </c>
      <c r="AL51" s="15">
        <f>IF($D51=AL$1,$R51,IF($E51=AL$1,$S51,AL50))</f>
        <v/>
      </c>
      <c r="AM51" s="15">
        <f>IF($D51=AM$1,$R51,IF($E51=AM$1,$S51,AM50))</f>
        <v/>
      </c>
      <c r="AN51" s="15">
        <f>IF($D51=AN$1,$R51,IF($E51=AN$1,$S51,AN50))</f>
        <v/>
      </c>
      <c r="AO51" s="15">
        <f>IF($D51=AO$1,$R51,IF($E51=AO$1,$S51,AO50))</f>
        <v/>
      </c>
      <c r="AP51" s="15">
        <f>IF($D51=AP$1,$R51,IF($E51=AP$1,$S51,AP50))</f>
        <v/>
      </c>
      <c r="AQ51" s="15">
        <f>IF($D51=AQ$1,$R51,IF($E51=AQ$1,$S51,AQ50))</f>
        <v/>
      </c>
      <c r="AR51" s="15">
        <f>IF($D51=AR$1,$R51,IF($E51=AR$1,$S51,AR50))</f>
        <v/>
      </c>
      <c r="AS51" s="15">
        <f>IF($D51=AS$1,$R51,IF($E51=AS$1,$S51,AS50))</f>
        <v/>
      </c>
      <c r="AT51" s="15">
        <f>IF($D51=AT$1,$R51,IF($E51=AT$1,$S51,AT50))</f>
        <v/>
      </c>
      <c r="AU51" s="15">
        <f>IF($D51=AU$1,$R51,IF($E51=AU$1,$S51,AU50))</f>
        <v/>
      </c>
      <c r="AV51" s="15">
        <f>IF($D51=AV$1,$R51,IF($E51=AV$1,$S51,AV50))</f>
        <v/>
      </c>
      <c r="AW51" s="15">
        <f>IF($D51=AW$1,$R51,IF($E51=AW$1,$S51,AW50))</f>
        <v/>
      </c>
      <c r="AX51" s="15">
        <f>IF($D51=AX$1,$R51,IF($E51=AX$1,$S51,AX50))</f>
        <v/>
      </c>
      <c r="AY51" s="15">
        <f>IF($D51=AY$1,$R51,IF($E51=AY$1,$S51,AY50))</f>
        <v/>
      </c>
      <c r="AZ51" s="15">
        <f>IF($D51=AZ$1,$R51,IF($E51=AZ$1,$S51,AZ50))</f>
        <v/>
      </c>
      <c r="BA51" s="15">
        <f>IF($D51=BA$1,$R51,IF($E51=BA$1,$S51,BA50))</f>
        <v/>
      </c>
      <c r="BB51" s="15">
        <f>IF($D51=BB$1,$R51,IF($E51=BB$1,$S51,BB50))</f>
        <v/>
      </c>
      <c r="BC51" s="15">
        <f>IF($D51=BC$1,$R51,IF($E51=BC$1,$S51,BC50))</f>
        <v/>
      </c>
      <c r="BD51" s="15">
        <f>IF($D51=BD$1,$R51,IF($E51=BD$1,$S51,BD50))</f>
        <v/>
      </c>
      <c r="BE51" s="15">
        <f>IF($D51=BE$1,$R51,IF($E51=BE$1,$S51,BE50))</f>
        <v/>
      </c>
      <c r="BF51" s="15">
        <f>IF($D51=BF$1,$R51,IF($E51=BF$1,$S51,BF50))</f>
        <v/>
      </c>
      <c r="BG51" s="15">
        <f>IF($D51=BG$1,$R51,IF($E51=BG$1,$S51,BG50))</f>
        <v/>
      </c>
      <c r="BH51" s="15">
        <f>IF($D51=BH$1,$R51,IF($E51=BH$1,$S51,BH50))</f>
        <v/>
      </c>
      <c r="BI51" s="15">
        <f>IF($D51=BI$1,$R51,IF($E51=BI$1,$S51,BI50))</f>
        <v/>
      </c>
      <c r="BJ51" s="15">
        <f>IF($D51=BJ$1,$R51,IF($E51=BJ$1,$S51,BJ50))</f>
        <v/>
      </c>
      <c r="BK51" s="15">
        <f>IF($D51=BK$1,$R51,IF($E51=BK$1,$S51,BK50))</f>
        <v/>
      </c>
      <c r="BL51" s="15">
        <f>IF($D51=BL$1,$R51,IF($E51=BL$1,$S51,BL50))</f>
        <v/>
      </c>
      <c r="BM51" s="15">
        <f>IF($D51=BM$1,$R51,IF($E51=BM$1,$S51,BM50))</f>
        <v/>
      </c>
      <c r="BN51" s="15">
        <f>IF($D51=BN$1,$R51,IF($E51=BN$1,$S51,BN50))</f>
        <v/>
      </c>
      <c r="BO51" s="15">
        <f>IF($D51=BO$1,$R51,IF($E51=BO$1,$S51,BO50))</f>
        <v/>
      </c>
      <c r="BP51" s="15">
        <f>IF($D51=BP$1,$R51,IF($E51=BP$1,$S51,BP50))</f>
        <v/>
      </c>
      <c r="BQ51" s="15">
        <f>IF($D51=BQ$1,$R51,IF($E51=BQ$1,$S51,BQ50))</f>
        <v/>
      </c>
      <c r="BR51" s="15">
        <f>IF($D51=BR$1,$R51,IF($E51=BR$1,$S51,BR50))</f>
        <v/>
      </c>
      <c r="BS51" s="15">
        <f>IF($D51=BS$1,$R51,IF($E51=BS$1,$S51,BS50))</f>
        <v/>
      </c>
      <c r="BT51" s="15">
        <f>IF($D51=BT$1,$R51,IF($E51=BT$1,$S51,BT50))</f>
        <v/>
      </c>
      <c r="BU51" s="15">
        <f>IF($D51=BU$1,$R51,IF($E51=BU$1,$S51,BU50))</f>
        <v/>
      </c>
      <c r="BV51" s="15">
        <f>IF($D51=BV$1,$R51,IF($E51=BV$1,$S51,BV50))</f>
        <v/>
      </c>
      <c r="BW51" s="15">
        <f>IF($D51=BW$1,$R51,IF($E51=BW$1,$S51,BW50))</f>
        <v/>
      </c>
      <c r="BX51" s="15">
        <f>IF($D51=BX$1,$R51,IF($E51=BX$1,$S51,BX50))</f>
        <v/>
      </c>
      <c r="BY51" s="15">
        <f>IF($D51=BY$1,$R51,IF($E51=BY$1,$S51,BY50))</f>
        <v/>
      </c>
      <c r="BZ51" s="15">
        <f>IF($D51=BZ$1,$R51,IF($E51=BZ$1,$S51,BZ50))</f>
        <v/>
      </c>
    </row>
    <row r="52" ht="15" customHeight="1">
      <c r="A52" s="7">
        <f>Fixture!A51</f>
        <v/>
      </c>
      <c r="B52" s="7">
        <f>Fixture!B51</f>
        <v/>
      </c>
      <c r="C52" s="7">
        <f>Fixture!C51</f>
        <v/>
      </c>
      <c r="D52" s="7">
        <f>Fixture!E51</f>
        <v/>
      </c>
      <c r="E52" s="7">
        <f>Fixture!F51</f>
        <v/>
      </c>
      <c r="F52" s="7">
        <f>Fixture!J51</f>
        <v/>
      </c>
      <c r="G52" s="7">
        <f>Fixture!K51</f>
        <v/>
      </c>
      <c r="H52" s="7">
        <f>IF(ISNUMBER(Resultados!B51),1,0)</f>
        <v/>
      </c>
      <c r="I52" s="7">
        <f>IF($H52=1,Resultados!B51,0)</f>
        <v/>
      </c>
      <c r="J52" s="7">
        <f>IF($H52=1,Resultados!C51,0)</f>
        <v/>
      </c>
      <c r="K52" s="12">
        <f>IFERROR(INDEX($AE51:$BZ51,MATCH($D52,$AE$1:$BZ$1,0)),"")</f>
        <v/>
      </c>
      <c r="L52" s="12">
        <f>IFERROR(INDEX($AE51:$BZ51,MATCH($E52,$AE$1:$BZ$1,0)),"")</f>
        <v/>
      </c>
      <c r="M52" s="12">
        <f>IF(OR($K52="",$L52=""),"",($K52+100*$F52)-($L52+100*$G52))</f>
        <v/>
      </c>
      <c r="N52" s="13">
        <f>IF($M52="","",1/(1+10^(-$M52/400)))</f>
        <v/>
      </c>
      <c r="O52" s="7">
        <f>IF(OR($H52=0,$N52=""),"",IF($I52&gt;$J52,1,IF($I52=$J52,0.5,0)))</f>
        <v/>
      </c>
      <c r="P52" s="14">
        <f>IF($O52="","",IF(ABS($I52-$J52)&lt;=1,1,IF(ABS($I52-$J52)=2,1.5,IF(ABS($I52-$J52)=3,1.75,1.75+(ABS($I52-$J52)-3)/8))))</f>
        <v/>
      </c>
      <c r="Q52" s="14">
        <f>IF($O52="",0,Equipos!$O$4*$P52*($O52-$N52))</f>
        <v/>
      </c>
      <c r="R52" s="12">
        <f>IF($K52="","",$K52+$Q52)</f>
        <v/>
      </c>
      <c r="S52" s="12">
        <f>IF($L52="","",$L52-$Q52)</f>
        <v/>
      </c>
      <c r="T52" s="14">
        <f>IF($M52="","",Equipos!$O$3*$M52)</f>
        <v/>
      </c>
      <c r="U52" s="14">
        <f>IFERROR(VLOOKUP($D52,Equipos!$A:$H,6,0),"")</f>
        <v/>
      </c>
      <c r="V52" s="14">
        <f>IFERROR(VLOOKUP($D52,Equipos!$A:$H,7,0),"")</f>
        <v/>
      </c>
      <c r="W52" s="14">
        <f>IFERROR(VLOOKUP($E52,Equipos!$A:$H,6,0),"")</f>
        <v/>
      </c>
      <c r="X52" s="14">
        <f>IFERROR(VLOOKUP($E52,Equipos!$A:$H,7,0),"")</f>
        <v/>
      </c>
      <c r="Y52" s="14">
        <f>IF(OR($U52="",$W52=""),"",MIN(3.6,MAX(1.8,Equipos!$O$2*SQRT($U52*$W52*$V52*$X52))))</f>
        <v/>
      </c>
      <c r="Z52" s="14">
        <f>IF(OR($Y52="",$T52=""),"",MAX(0.2,($Y52+$T52)/2))</f>
        <v/>
      </c>
      <c r="AA52" s="14">
        <f>IF(OR($Y52="",$T52=""),"",MAX(0.2,($Y52-$T52)/2))</f>
        <v/>
      </c>
      <c r="AE52" s="15">
        <f>IF($D52=AE$1,$R52,IF($E52=AE$1,$S52,AE51))</f>
        <v/>
      </c>
      <c r="AF52" s="15">
        <f>IF($D52=AF$1,$R52,IF($E52=AF$1,$S52,AF51))</f>
        <v/>
      </c>
      <c r="AG52" s="15">
        <f>IF($D52=AG$1,$R52,IF($E52=AG$1,$S52,AG51))</f>
        <v/>
      </c>
      <c r="AH52" s="15">
        <f>IF($D52=AH$1,$R52,IF($E52=AH$1,$S52,AH51))</f>
        <v/>
      </c>
      <c r="AI52" s="15">
        <f>IF($D52=AI$1,$R52,IF($E52=AI$1,$S52,AI51))</f>
        <v/>
      </c>
      <c r="AJ52" s="15">
        <f>IF($D52=AJ$1,$R52,IF($E52=AJ$1,$S52,AJ51))</f>
        <v/>
      </c>
      <c r="AK52" s="15">
        <f>IF($D52=AK$1,$R52,IF($E52=AK$1,$S52,AK51))</f>
        <v/>
      </c>
      <c r="AL52" s="15">
        <f>IF($D52=AL$1,$R52,IF($E52=AL$1,$S52,AL51))</f>
        <v/>
      </c>
      <c r="AM52" s="15">
        <f>IF($D52=AM$1,$R52,IF($E52=AM$1,$S52,AM51))</f>
        <v/>
      </c>
      <c r="AN52" s="15">
        <f>IF($D52=AN$1,$R52,IF($E52=AN$1,$S52,AN51))</f>
        <v/>
      </c>
      <c r="AO52" s="15">
        <f>IF($D52=AO$1,$R52,IF($E52=AO$1,$S52,AO51))</f>
        <v/>
      </c>
      <c r="AP52" s="15">
        <f>IF($D52=AP$1,$R52,IF($E52=AP$1,$S52,AP51))</f>
        <v/>
      </c>
      <c r="AQ52" s="15">
        <f>IF($D52=AQ$1,$R52,IF($E52=AQ$1,$S52,AQ51))</f>
        <v/>
      </c>
      <c r="AR52" s="15">
        <f>IF($D52=AR$1,$R52,IF($E52=AR$1,$S52,AR51))</f>
        <v/>
      </c>
      <c r="AS52" s="15">
        <f>IF($D52=AS$1,$R52,IF($E52=AS$1,$S52,AS51))</f>
        <v/>
      </c>
      <c r="AT52" s="15">
        <f>IF($D52=AT$1,$R52,IF($E52=AT$1,$S52,AT51))</f>
        <v/>
      </c>
      <c r="AU52" s="15">
        <f>IF($D52=AU$1,$R52,IF($E52=AU$1,$S52,AU51))</f>
        <v/>
      </c>
      <c r="AV52" s="15">
        <f>IF($D52=AV$1,$R52,IF($E52=AV$1,$S52,AV51))</f>
        <v/>
      </c>
      <c r="AW52" s="15">
        <f>IF($D52=AW$1,$R52,IF($E52=AW$1,$S52,AW51))</f>
        <v/>
      </c>
      <c r="AX52" s="15">
        <f>IF($D52=AX$1,$R52,IF($E52=AX$1,$S52,AX51))</f>
        <v/>
      </c>
      <c r="AY52" s="15">
        <f>IF($D52=AY$1,$R52,IF($E52=AY$1,$S52,AY51))</f>
        <v/>
      </c>
      <c r="AZ52" s="15">
        <f>IF($D52=AZ$1,$R52,IF($E52=AZ$1,$S52,AZ51))</f>
        <v/>
      </c>
      <c r="BA52" s="15">
        <f>IF($D52=BA$1,$R52,IF($E52=BA$1,$S52,BA51))</f>
        <v/>
      </c>
      <c r="BB52" s="15">
        <f>IF($D52=BB$1,$R52,IF($E52=BB$1,$S52,BB51))</f>
        <v/>
      </c>
      <c r="BC52" s="15">
        <f>IF($D52=BC$1,$R52,IF($E52=BC$1,$S52,BC51))</f>
        <v/>
      </c>
      <c r="BD52" s="15">
        <f>IF($D52=BD$1,$R52,IF($E52=BD$1,$S52,BD51))</f>
        <v/>
      </c>
      <c r="BE52" s="15">
        <f>IF($D52=BE$1,$R52,IF($E52=BE$1,$S52,BE51))</f>
        <v/>
      </c>
      <c r="BF52" s="15">
        <f>IF($D52=BF$1,$R52,IF($E52=BF$1,$S52,BF51))</f>
        <v/>
      </c>
      <c r="BG52" s="15">
        <f>IF($D52=BG$1,$R52,IF($E52=BG$1,$S52,BG51))</f>
        <v/>
      </c>
      <c r="BH52" s="15">
        <f>IF($D52=BH$1,$R52,IF($E52=BH$1,$S52,BH51))</f>
        <v/>
      </c>
      <c r="BI52" s="15">
        <f>IF($D52=BI$1,$R52,IF($E52=BI$1,$S52,BI51))</f>
        <v/>
      </c>
      <c r="BJ52" s="15">
        <f>IF($D52=BJ$1,$R52,IF($E52=BJ$1,$S52,BJ51))</f>
        <v/>
      </c>
      <c r="BK52" s="15">
        <f>IF($D52=BK$1,$R52,IF($E52=BK$1,$S52,BK51))</f>
        <v/>
      </c>
      <c r="BL52" s="15">
        <f>IF($D52=BL$1,$R52,IF($E52=BL$1,$S52,BL51))</f>
        <v/>
      </c>
      <c r="BM52" s="15">
        <f>IF($D52=BM$1,$R52,IF($E52=BM$1,$S52,BM51))</f>
        <v/>
      </c>
      <c r="BN52" s="15">
        <f>IF($D52=BN$1,$R52,IF($E52=BN$1,$S52,BN51))</f>
        <v/>
      </c>
      <c r="BO52" s="15">
        <f>IF($D52=BO$1,$R52,IF($E52=BO$1,$S52,BO51))</f>
        <v/>
      </c>
      <c r="BP52" s="15">
        <f>IF($D52=BP$1,$R52,IF($E52=BP$1,$S52,BP51))</f>
        <v/>
      </c>
      <c r="BQ52" s="15">
        <f>IF($D52=BQ$1,$R52,IF($E52=BQ$1,$S52,BQ51))</f>
        <v/>
      </c>
      <c r="BR52" s="15">
        <f>IF($D52=BR$1,$R52,IF($E52=BR$1,$S52,BR51))</f>
        <v/>
      </c>
      <c r="BS52" s="15">
        <f>IF($D52=BS$1,$R52,IF($E52=BS$1,$S52,BS51))</f>
        <v/>
      </c>
      <c r="BT52" s="15">
        <f>IF($D52=BT$1,$R52,IF($E52=BT$1,$S52,BT51))</f>
        <v/>
      </c>
      <c r="BU52" s="15">
        <f>IF($D52=BU$1,$R52,IF($E52=BU$1,$S52,BU51))</f>
        <v/>
      </c>
      <c r="BV52" s="15">
        <f>IF($D52=BV$1,$R52,IF($E52=BV$1,$S52,BV51))</f>
        <v/>
      </c>
      <c r="BW52" s="15">
        <f>IF($D52=BW$1,$R52,IF($E52=BW$1,$S52,BW51))</f>
        <v/>
      </c>
      <c r="BX52" s="15">
        <f>IF($D52=BX$1,$R52,IF($E52=BX$1,$S52,BX51))</f>
        <v/>
      </c>
      <c r="BY52" s="15">
        <f>IF($D52=BY$1,$R52,IF($E52=BY$1,$S52,BY51))</f>
        <v/>
      </c>
      <c r="BZ52" s="15">
        <f>IF($D52=BZ$1,$R52,IF($E52=BZ$1,$S52,BZ51))</f>
        <v/>
      </c>
    </row>
    <row r="53" ht="15" customHeight="1">
      <c r="A53" s="7">
        <f>Fixture!A52</f>
        <v/>
      </c>
      <c r="B53" s="7">
        <f>Fixture!B52</f>
        <v/>
      </c>
      <c r="C53" s="7">
        <f>Fixture!C52</f>
        <v/>
      </c>
      <c r="D53" s="7">
        <f>Fixture!E52</f>
        <v/>
      </c>
      <c r="E53" s="7">
        <f>Fixture!F52</f>
        <v/>
      </c>
      <c r="F53" s="7">
        <f>Fixture!J52</f>
        <v/>
      </c>
      <c r="G53" s="7">
        <f>Fixture!K52</f>
        <v/>
      </c>
      <c r="H53" s="7">
        <f>IF(ISNUMBER(Resultados!B52),1,0)</f>
        <v/>
      </c>
      <c r="I53" s="7">
        <f>IF($H53=1,Resultados!B52,0)</f>
        <v/>
      </c>
      <c r="J53" s="7">
        <f>IF($H53=1,Resultados!C52,0)</f>
        <v/>
      </c>
      <c r="K53" s="12">
        <f>IFERROR(INDEX($AE52:$BZ52,MATCH($D53,$AE$1:$BZ$1,0)),"")</f>
        <v/>
      </c>
      <c r="L53" s="12">
        <f>IFERROR(INDEX($AE52:$BZ52,MATCH($E53,$AE$1:$BZ$1,0)),"")</f>
        <v/>
      </c>
      <c r="M53" s="12">
        <f>IF(OR($K53="",$L53=""),"",($K53+100*$F53)-($L53+100*$G53))</f>
        <v/>
      </c>
      <c r="N53" s="13">
        <f>IF($M53="","",1/(1+10^(-$M53/400)))</f>
        <v/>
      </c>
      <c r="O53" s="7">
        <f>IF(OR($H53=0,$N53=""),"",IF($I53&gt;$J53,1,IF($I53=$J53,0.5,0)))</f>
        <v/>
      </c>
      <c r="P53" s="14">
        <f>IF($O53="","",IF(ABS($I53-$J53)&lt;=1,1,IF(ABS($I53-$J53)=2,1.5,IF(ABS($I53-$J53)=3,1.75,1.75+(ABS($I53-$J53)-3)/8))))</f>
        <v/>
      </c>
      <c r="Q53" s="14">
        <f>IF($O53="",0,Equipos!$O$4*$P53*($O53-$N53))</f>
        <v/>
      </c>
      <c r="R53" s="12">
        <f>IF($K53="","",$K53+$Q53)</f>
        <v/>
      </c>
      <c r="S53" s="12">
        <f>IF($L53="","",$L53-$Q53)</f>
        <v/>
      </c>
      <c r="T53" s="14">
        <f>IF($M53="","",Equipos!$O$3*$M53)</f>
        <v/>
      </c>
      <c r="U53" s="14">
        <f>IFERROR(VLOOKUP($D53,Equipos!$A:$H,6,0),"")</f>
        <v/>
      </c>
      <c r="V53" s="14">
        <f>IFERROR(VLOOKUP($D53,Equipos!$A:$H,7,0),"")</f>
        <v/>
      </c>
      <c r="W53" s="14">
        <f>IFERROR(VLOOKUP($E53,Equipos!$A:$H,6,0),"")</f>
        <v/>
      </c>
      <c r="X53" s="14">
        <f>IFERROR(VLOOKUP($E53,Equipos!$A:$H,7,0),"")</f>
        <v/>
      </c>
      <c r="Y53" s="14">
        <f>IF(OR($U53="",$W53=""),"",MIN(3.6,MAX(1.8,Equipos!$O$2*SQRT($U53*$W53*$V53*$X53))))</f>
        <v/>
      </c>
      <c r="Z53" s="14">
        <f>IF(OR($Y53="",$T53=""),"",MAX(0.2,($Y53+$T53)/2))</f>
        <v/>
      </c>
      <c r="AA53" s="14">
        <f>IF(OR($Y53="",$T53=""),"",MAX(0.2,($Y53-$T53)/2))</f>
        <v/>
      </c>
      <c r="AE53" s="15">
        <f>IF($D53=AE$1,$R53,IF($E53=AE$1,$S53,AE52))</f>
        <v/>
      </c>
      <c r="AF53" s="15">
        <f>IF($D53=AF$1,$R53,IF($E53=AF$1,$S53,AF52))</f>
        <v/>
      </c>
      <c r="AG53" s="15">
        <f>IF($D53=AG$1,$R53,IF($E53=AG$1,$S53,AG52))</f>
        <v/>
      </c>
      <c r="AH53" s="15">
        <f>IF($D53=AH$1,$R53,IF($E53=AH$1,$S53,AH52))</f>
        <v/>
      </c>
      <c r="AI53" s="15">
        <f>IF($D53=AI$1,$R53,IF($E53=AI$1,$S53,AI52))</f>
        <v/>
      </c>
      <c r="AJ53" s="15">
        <f>IF($D53=AJ$1,$R53,IF($E53=AJ$1,$S53,AJ52))</f>
        <v/>
      </c>
      <c r="AK53" s="15">
        <f>IF($D53=AK$1,$R53,IF($E53=AK$1,$S53,AK52))</f>
        <v/>
      </c>
      <c r="AL53" s="15">
        <f>IF($D53=AL$1,$R53,IF($E53=AL$1,$S53,AL52))</f>
        <v/>
      </c>
      <c r="AM53" s="15">
        <f>IF($D53=AM$1,$R53,IF($E53=AM$1,$S53,AM52))</f>
        <v/>
      </c>
      <c r="AN53" s="15">
        <f>IF($D53=AN$1,$R53,IF($E53=AN$1,$S53,AN52))</f>
        <v/>
      </c>
      <c r="AO53" s="15">
        <f>IF($D53=AO$1,$R53,IF($E53=AO$1,$S53,AO52))</f>
        <v/>
      </c>
      <c r="AP53" s="15">
        <f>IF($D53=AP$1,$R53,IF($E53=AP$1,$S53,AP52))</f>
        <v/>
      </c>
      <c r="AQ53" s="15">
        <f>IF($D53=AQ$1,$R53,IF($E53=AQ$1,$S53,AQ52))</f>
        <v/>
      </c>
      <c r="AR53" s="15">
        <f>IF($D53=AR$1,$R53,IF($E53=AR$1,$S53,AR52))</f>
        <v/>
      </c>
      <c r="AS53" s="15">
        <f>IF($D53=AS$1,$R53,IF($E53=AS$1,$S53,AS52))</f>
        <v/>
      </c>
      <c r="AT53" s="15">
        <f>IF($D53=AT$1,$R53,IF($E53=AT$1,$S53,AT52))</f>
        <v/>
      </c>
      <c r="AU53" s="15">
        <f>IF($D53=AU$1,$R53,IF($E53=AU$1,$S53,AU52))</f>
        <v/>
      </c>
      <c r="AV53" s="15">
        <f>IF($D53=AV$1,$R53,IF($E53=AV$1,$S53,AV52))</f>
        <v/>
      </c>
      <c r="AW53" s="15">
        <f>IF($D53=AW$1,$R53,IF($E53=AW$1,$S53,AW52))</f>
        <v/>
      </c>
      <c r="AX53" s="15">
        <f>IF($D53=AX$1,$R53,IF($E53=AX$1,$S53,AX52))</f>
        <v/>
      </c>
      <c r="AY53" s="15">
        <f>IF($D53=AY$1,$R53,IF($E53=AY$1,$S53,AY52))</f>
        <v/>
      </c>
      <c r="AZ53" s="15">
        <f>IF($D53=AZ$1,$R53,IF($E53=AZ$1,$S53,AZ52))</f>
        <v/>
      </c>
      <c r="BA53" s="15">
        <f>IF($D53=BA$1,$R53,IF($E53=BA$1,$S53,BA52))</f>
        <v/>
      </c>
      <c r="BB53" s="15">
        <f>IF($D53=BB$1,$R53,IF($E53=BB$1,$S53,BB52))</f>
        <v/>
      </c>
      <c r="BC53" s="15">
        <f>IF($D53=BC$1,$R53,IF($E53=BC$1,$S53,BC52))</f>
        <v/>
      </c>
      <c r="BD53" s="15">
        <f>IF($D53=BD$1,$R53,IF($E53=BD$1,$S53,BD52))</f>
        <v/>
      </c>
      <c r="BE53" s="15">
        <f>IF($D53=BE$1,$R53,IF($E53=BE$1,$S53,BE52))</f>
        <v/>
      </c>
      <c r="BF53" s="15">
        <f>IF($D53=BF$1,$R53,IF($E53=BF$1,$S53,BF52))</f>
        <v/>
      </c>
      <c r="BG53" s="15">
        <f>IF($D53=BG$1,$R53,IF($E53=BG$1,$S53,BG52))</f>
        <v/>
      </c>
      <c r="BH53" s="15">
        <f>IF($D53=BH$1,$R53,IF($E53=BH$1,$S53,BH52))</f>
        <v/>
      </c>
      <c r="BI53" s="15">
        <f>IF($D53=BI$1,$R53,IF($E53=BI$1,$S53,BI52))</f>
        <v/>
      </c>
      <c r="BJ53" s="15">
        <f>IF($D53=BJ$1,$R53,IF($E53=BJ$1,$S53,BJ52))</f>
        <v/>
      </c>
      <c r="BK53" s="15">
        <f>IF($D53=BK$1,$R53,IF($E53=BK$1,$S53,BK52))</f>
        <v/>
      </c>
      <c r="BL53" s="15">
        <f>IF($D53=BL$1,$R53,IF($E53=BL$1,$S53,BL52))</f>
        <v/>
      </c>
      <c r="BM53" s="15">
        <f>IF($D53=BM$1,$R53,IF($E53=BM$1,$S53,BM52))</f>
        <v/>
      </c>
      <c r="BN53" s="15">
        <f>IF($D53=BN$1,$R53,IF($E53=BN$1,$S53,BN52))</f>
        <v/>
      </c>
      <c r="BO53" s="15">
        <f>IF($D53=BO$1,$R53,IF($E53=BO$1,$S53,BO52))</f>
        <v/>
      </c>
      <c r="BP53" s="15">
        <f>IF($D53=BP$1,$R53,IF($E53=BP$1,$S53,BP52))</f>
        <v/>
      </c>
      <c r="BQ53" s="15">
        <f>IF($D53=BQ$1,$R53,IF($E53=BQ$1,$S53,BQ52))</f>
        <v/>
      </c>
      <c r="BR53" s="15">
        <f>IF($D53=BR$1,$R53,IF($E53=BR$1,$S53,BR52))</f>
        <v/>
      </c>
      <c r="BS53" s="15">
        <f>IF($D53=BS$1,$R53,IF($E53=BS$1,$S53,BS52))</f>
        <v/>
      </c>
      <c r="BT53" s="15">
        <f>IF($D53=BT$1,$R53,IF($E53=BT$1,$S53,BT52))</f>
        <v/>
      </c>
      <c r="BU53" s="15">
        <f>IF($D53=BU$1,$R53,IF($E53=BU$1,$S53,BU52))</f>
        <v/>
      </c>
      <c r="BV53" s="15">
        <f>IF($D53=BV$1,$R53,IF($E53=BV$1,$S53,BV52))</f>
        <v/>
      </c>
      <c r="BW53" s="15">
        <f>IF($D53=BW$1,$R53,IF($E53=BW$1,$S53,BW52))</f>
        <v/>
      </c>
      <c r="BX53" s="15">
        <f>IF($D53=BX$1,$R53,IF($E53=BX$1,$S53,BX52))</f>
        <v/>
      </c>
      <c r="BY53" s="15">
        <f>IF($D53=BY$1,$R53,IF($E53=BY$1,$S53,BY52))</f>
        <v/>
      </c>
      <c r="BZ53" s="15">
        <f>IF($D53=BZ$1,$R53,IF($E53=BZ$1,$S53,BZ52))</f>
        <v/>
      </c>
    </row>
    <row r="54" ht="15" customHeight="1">
      <c r="A54" s="7">
        <f>Fixture!A53</f>
        <v/>
      </c>
      <c r="B54" s="7">
        <f>Fixture!B53</f>
        <v/>
      </c>
      <c r="C54" s="7">
        <f>Fixture!C53</f>
        <v/>
      </c>
      <c r="D54" s="7">
        <f>Fixture!E53</f>
        <v/>
      </c>
      <c r="E54" s="7">
        <f>Fixture!F53</f>
        <v/>
      </c>
      <c r="F54" s="7">
        <f>Fixture!J53</f>
        <v/>
      </c>
      <c r="G54" s="7">
        <f>Fixture!K53</f>
        <v/>
      </c>
      <c r="H54" s="7">
        <f>IF(ISNUMBER(Resultados!B53),1,0)</f>
        <v/>
      </c>
      <c r="I54" s="7">
        <f>IF($H54=1,Resultados!B53,0)</f>
        <v/>
      </c>
      <c r="J54" s="7">
        <f>IF($H54=1,Resultados!C53,0)</f>
        <v/>
      </c>
      <c r="K54" s="12">
        <f>IFERROR(INDEX($AE53:$BZ53,MATCH($D54,$AE$1:$BZ$1,0)),"")</f>
        <v/>
      </c>
      <c r="L54" s="12">
        <f>IFERROR(INDEX($AE53:$BZ53,MATCH($E54,$AE$1:$BZ$1,0)),"")</f>
        <v/>
      </c>
      <c r="M54" s="12">
        <f>IF(OR($K54="",$L54=""),"",($K54+100*$F54)-($L54+100*$G54))</f>
        <v/>
      </c>
      <c r="N54" s="13">
        <f>IF($M54="","",1/(1+10^(-$M54/400)))</f>
        <v/>
      </c>
      <c r="O54" s="7">
        <f>IF(OR($H54=0,$N54=""),"",IF($I54&gt;$J54,1,IF($I54=$J54,0.5,0)))</f>
        <v/>
      </c>
      <c r="P54" s="14">
        <f>IF($O54="","",IF(ABS($I54-$J54)&lt;=1,1,IF(ABS($I54-$J54)=2,1.5,IF(ABS($I54-$J54)=3,1.75,1.75+(ABS($I54-$J54)-3)/8))))</f>
        <v/>
      </c>
      <c r="Q54" s="14">
        <f>IF($O54="",0,Equipos!$O$4*$P54*($O54-$N54))</f>
        <v/>
      </c>
      <c r="R54" s="12">
        <f>IF($K54="","",$K54+$Q54)</f>
        <v/>
      </c>
      <c r="S54" s="12">
        <f>IF($L54="","",$L54-$Q54)</f>
        <v/>
      </c>
      <c r="T54" s="14">
        <f>IF($M54="","",Equipos!$O$3*$M54)</f>
        <v/>
      </c>
      <c r="U54" s="14">
        <f>IFERROR(VLOOKUP($D54,Equipos!$A:$H,6,0),"")</f>
        <v/>
      </c>
      <c r="V54" s="14">
        <f>IFERROR(VLOOKUP($D54,Equipos!$A:$H,7,0),"")</f>
        <v/>
      </c>
      <c r="W54" s="14">
        <f>IFERROR(VLOOKUP($E54,Equipos!$A:$H,6,0),"")</f>
        <v/>
      </c>
      <c r="X54" s="14">
        <f>IFERROR(VLOOKUP($E54,Equipos!$A:$H,7,0),"")</f>
        <v/>
      </c>
      <c r="Y54" s="14">
        <f>IF(OR($U54="",$W54=""),"",MIN(3.6,MAX(1.8,Equipos!$O$2*SQRT($U54*$W54*$V54*$X54))))</f>
        <v/>
      </c>
      <c r="Z54" s="14">
        <f>IF(OR($Y54="",$T54=""),"",MAX(0.2,($Y54+$T54)/2))</f>
        <v/>
      </c>
      <c r="AA54" s="14">
        <f>IF(OR($Y54="",$T54=""),"",MAX(0.2,($Y54-$T54)/2))</f>
        <v/>
      </c>
      <c r="AE54" s="15">
        <f>IF($D54=AE$1,$R54,IF($E54=AE$1,$S54,AE53))</f>
        <v/>
      </c>
      <c r="AF54" s="15">
        <f>IF($D54=AF$1,$R54,IF($E54=AF$1,$S54,AF53))</f>
        <v/>
      </c>
      <c r="AG54" s="15">
        <f>IF($D54=AG$1,$R54,IF($E54=AG$1,$S54,AG53))</f>
        <v/>
      </c>
      <c r="AH54" s="15">
        <f>IF($D54=AH$1,$R54,IF($E54=AH$1,$S54,AH53))</f>
        <v/>
      </c>
      <c r="AI54" s="15">
        <f>IF($D54=AI$1,$R54,IF($E54=AI$1,$S54,AI53))</f>
        <v/>
      </c>
      <c r="AJ54" s="15">
        <f>IF($D54=AJ$1,$R54,IF($E54=AJ$1,$S54,AJ53))</f>
        <v/>
      </c>
      <c r="AK54" s="15">
        <f>IF($D54=AK$1,$R54,IF($E54=AK$1,$S54,AK53))</f>
        <v/>
      </c>
      <c r="AL54" s="15">
        <f>IF($D54=AL$1,$R54,IF($E54=AL$1,$S54,AL53))</f>
        <v/>
      </c>
      <c r="AM54" s="15">
        <f>IF($D54=AM$1,$R54,IF($E54=AM$1,$S54,AM53))</f>
        <v/>
      </c>
      <c r="AN54" s="15">
        <f>IF($D54=AN$1,$R54,IF($E54=AN$1,$S54,AN53))</f>
        <v/>
      </c>
      <c r="AO54" s="15">
        <f>IF($D54=AO$1,$R54,IF($E54=AO$1,$S54,AO53))</f>
        <v/>
      </c>
      <c r="AP54" s="15">
        <f>IF($D54=AP$1,$R54,IF($E54=AP$1,$S54,AP53))</f>
        <v/>
      </c>
      <c r="AQ54" s="15">
        <f>IF($D54=AQ$1,$R54,IF($E54=AQ$1,$S54,AQ53))</f>
        <v/>
      </c>
      <c r="AR54" s="15">
        <f>IF($D54=AR$1,$R54,IF($E54=AR$1,$S54,AR53))</f>
        <v/>
      </c>
      <c r="AS54" s="15">
        <f>IF($D54=AS$1,$R54,IF($E54=AS$1,$S54,AS53))</f>
        <v/>
      </c>
      <c r="AT54" s="15">
        <f>IF($D54=AT$1,$R54,IF($E54=AT$1,$S54,AT53))</f>
        <v/>
      </c>
      <c r="AU54" s="15">
        <f>IF($D54=AU$1,$R54,IF($E54=AU$1,$S54,AU53))</f>
        <v/>
      </c>
      <c r="AV54" s="15">
        <f>IF($D54=AV$1,$R54,IF($E54=AV$1,$S54,AV53))</f>
        <v/>
      </c>
      <c r="AW54" s="15">
        <f>IF($D54=AW$1,$R54,IF($E54=AW$1,$S54,AW53))</f>
        <v/>
      </c>
      <c r="AX54" s="15">
        <f>IF($D54=AX$1,$R54,IF($E54=AX$1,$S54,AX53))</f>
        <v/>
      </c>
      <c r="AY54" s="15">
        <f>IF($D54=AY$1,$R54,IF($E54=AY$1,$S54,AY53))</f>
        <v/>
      </c>
      <c r="AZ54" s="15">
        <f>IF($D54=AZ$1,$R54,IF($E54=AZ$1,$S54,AZ53))</f>
        <v/>
      </c>
      <c r="BA54" s="15">
        <f>IF($D54=BA$1,$R54,IF($E54=BA$1,$S54,BA53))</f>
        <v/>
      </c>
      <c r="BB54" s="15">
        <f>IF($D54=BB$1,$R54,IF($E54=BB$1,$S54,BB53))</f>
        <v/>
      </c>
      <c r="BC54" s="15">
        <f>IF($D54=BC$1,$R54,IF($E54=BC$1,$S54,BC53))</f>
        <v/>
      </c>
      <c r="BD54" s="15">
        <f>IF($D54=BD$1,$R54,IF($E54=BD$1,$S54,BD53))</f>
        <v/>
      </c>
      <c r="BE54" s="15">
        <f>IF($D54=BE$1,$R54,IF($E54=BE$1,$S54,BE53))</f>
        <v/>
      </c>
      <c r="BF54" s="15">
        <f>IF($D54=BF$1,$R54,IF($E54=BF$1,$S54,BF53))</f>
        <v/>
      </c>
      <c r="BG54" s="15">
        <f>IF($D54=BG$1,$R54,IF($E54=BG$1,$S54,BG53))</f>
        <v/>
      </c>
      <c r="BH54" s="15">
        <f>IF($D54=BH$1,$R54,IF($E54=BH$1,$S54,BH53))</f>
        <v/>
      </c>
      <c r="BI54" s="15">
        <f>IF($D54=BI$1,$R54,IF($E54=BI$1,$S54,BI53))</f>
        <v/>
      </c>
      <c r="BJ54" s="15">
        <f>IF($D54=BJ$1,$R54,IF($E54=BJ$1,$S54,BJ53))</f>
        <v/>
      </c>
      <c r="BK54" s="15">
        <f>IF($D54=BK$1,$R54,IF($E54=BK$1,$S54,BK53))</f>
        <v/>
      </c>
      <c r="BL54" s="15">
        <f>IF($D54=BL$1,$R54,IF($E54=BL$1,$S54,BL53))</f>
        <v/>
      </c>
      <c r="BM54" s="15">
        <f>IF($D54=BM$1,$R54,IF($E54=BM$1,$S54,BM53))</f>
        <v/>
      </c>
      <c r="BN54" s="15">
        <f>IF($D54=BN$1,$R54,IF($E54=BN$1,$S54,BN53))</f>
        <v/>
      </c>
      <c r="BO54" s="15">
        <f>IF($D54=BO$1,$R54,IF($E54=BO$1,$S54,BO53))</f>
        <v/>
      </c>
      <c r="BP54" s="15">
        <f>IF($D54=BP$1,$R54,IF($E54=BP$1,$S54,BP53))</f>
        <v/>
      </c>
      <c r="BQ54" s="15">
        <f>IF($D54=BQ$1,$R54,IF($E54=BQ$1,$S54,BQ53))</f>
        <v/>
      </c>
      <c r="BR54" s="15">
        <f>IF($D54=BR$1,$R54,IF($E54=BR$1,$S54,BR53))</f>
        <v/>
      </c>
      <c r="BS54" s="15">
        <f>IF($D54=BS$1,$R54,IF($E54=BS$1,$S54,BS53))</f>
        <v/>
      </c>
      <c r="BT54" s="15">
        <f>IF($D54=BT$1,$R54,IF($E54=BT$1,$S54,BT53))</f>
        <v/>
      </c>
      <c r="BU54" s="15">
        <f>IF($D54=BU$1,$R54,IF($E54=BU$1,$S54,BU53))</f>
        <v/>
      </c>
      <c r="BV54" s="15">
        <f>IF($D54=BV$1,$R54,IF($E54=BV$1,$S54,BV53))</f>
        <v/>
      </c>
      <c r="BW54" s="15">
        <f>IF($D54=BW$1,$R54,IF($E54=BW$1,$S54,BW53))</f>
        <v/>
      </c>
      <c r="BX54" s="15">
        <f>IF($D54=BX$1,$R54,IF($E54=BX$1,$S54,BX53))</f>
        <v/>
      </c>
      <c r="BY54" s="15">
        <f>IF($D54=BY$1,$R54,IF($E54=BY$1,$S54,BY53))</f>
        <v/>
      </c>
      <c r="BZ54" s="15">
        <f>IF($D54=BZ$1,$R54,IF($E54=BZ$1,$S54,BZ53))</f>
        <v/>
      </c>
    </row>
    <row r="55" ht="15" customHeight="1">
      <c r="A55" s="7">
        <f>Fixture!A54</f>
        <v/>
      </c>
      <c r="B55" s="7">
        <f>Fixture!B54</f>
        <v/>
      </c>
      <c r="C55" s="7">
        <f>Fixture!C54</f>
        <v/>
      </c>
      <c r="D55" s="7">
        <f>Fixture!E54</f>
        <v/>
      </c>
      <c r="E55" s="7">
        <f>Fixture!F54</f>
        <v/>
      </c>
      <c r="F55" s="7">
        <f>Fixture!J54</f>
        <v/>
      </c>
      <c r="G55" s="7">
        <f>Fixture!K54</f>
        <v/>
      </c>
      <c r="H55" s="7">
        <f>IF(ISNUMBER(Resultados!B54),1,0)</f>
        <v/>
      </c>
      <c r="I55" s="7">
        <f>IF($H55=1,Resultados!B54,0)</f>
        <v/>
      </c>
      <c r="J55" s="7">
        <f>IF($H55=1,Resultados!C54,0)</f>
        <v/>
      </c>
      <c r="K55" s="12">
        <f>IFERROR(INDEX($AE54:$BZ54,MATCH($D55,$AE$1:$BZ$1,0)),"")</f>
        <v/>
      </c>
      <c r="L55" s="12">
        <f>IFERROR(INDEX($AE54:$BZ54,MATCH($E55,$AE$1:$BZ$1,0)),"")</f>
        <v/>
      </c>
      <c r="M55" s="12">
        <f>IF(OR($K55="",$L55=""),"",($K55+100*$F55)-($L55+100*$G55))</f>
        <v/>
      </c>
      <c r="N55" s="13">
        <f>IF($M55="","",1/(1+10^(-$M55/400)))</f>
        <v/>
      </c>
      <c r="O55" s="7">
        <f>IF(OR($H55=0,$N55=""),"",IF($I55&gt;$J55,1,IF($I55=$J55,0.5,0)))</f>
        <v/>
      </c>
      <c r="P55" s="14">
        <f>IF($O55="","",IF(ABS($I55-$J55)&lt;=1,1,IF(ABS($I55-$J55)=2,1.5,IF(ABS($I55-$J55)=3,1.75,1.75+(ABS($I55-$J55)-3)/8))))</f>
        <v/>
      </c>
      <c r="Q55" s="14">
        <f>IF($O55="",0,Equipos!$O$4*$P55*($O55-$N55))</f>
        <v/>
      </c>
      <c r="R55" s="12">
        <f>IF($K55="","",$K55+$Q55)</f>
        <v/>
      </c>
      <c r="S55" s="12">
        <f>IF($L55="","",$L55-$Q55)</f>
        <v/>
      </c>
      <c r="T55" s="14">
        <f>IF($M55="","",Equipos!$O$3*$M55)</f>
        <v/>
      </c>
      <c r="U55" s="14">
        <f>IFERROR(VLOOKUP($D55,Equipos!$A:$H,6,0),"")</f>
        <v/>
      </c>
      <c r="V55" s="14">
        <f>IFERROR(VLOOKUP($D55,Equipos!$A:$H,7,0),"")</f>
        <v/>
      </c>
      <c r="W55" s="14">
        <f>IFERROR(VLOOKUP($E55,Equipos!$A:$H,6,0),"")</f>
        <v/>
      </c>
      <c r="X55" s="14">
        <f>IFERROR(VLOOKUP($E55,Equipos!$A:$H,7,0),"")</f>
        <v/>
      </c>
      <c r="Y55" s="14">
        <f>IF(OR($U55="",$W55=""),"",MIN(3.6,MAX(1.8,Equipos!$O$2*SQRT($U55*$W55*$V55*$X55))))</f>
        <v/>
      </c>
      <c r="Z55" s="14">
        <f>IF(OR($Y55="",$T55=""),"",MAX(0.2,($Y55+$T55)/2))</f>
        <v/>
      </c>
      <c r="AA55" s="14">
        <f>IF(OR($Y55="",$T55=""),"",MAX(0.2,($Y55-$T55)/2))</f>
        <v/>
      </c>
      <c r="AE55" s="15">
        <f>IF($D55=AE$1,$R55,IF($E55=AE$1,$S55,AE54))</f>
        <v/>
      </c>
      <c r="AF55" s="15">
        <f>IF($D55=AF$1,$R55,IF($E55=AF$1,$S55,AF54))</f>
        <v/>
      </c>
      <c r="AG55" s="15">
        <f>IF($D55=AG$1,$R55,IF($E55=AG$1,$S55,AG54))</f>
        <v/>
      </c>
      <c r="AH55" s="15">
        <f>IF($D55=AH$1,$R55,IF($E55=AH$1,$S55,AH54))</f>
        <v/>
      </c>
      <c r="AI55" s="15">
        <f>IF($D55=AI$1,$R55,IF($E55=AI$1,$S55,AI54))</f>
        <v/>
      </c>
      <c r="AJ55" s="15">
        <f>IF($D55=AJ$1,$R55,IF($E55=AJ$1,$S55,AJ54))</f>
        <v/>
      </c>
      <c r="AK55" s="15">
        <f>IF($D55=AK$1,$R55,IF($E55=AK$1,$S55,AK54))</f>
        <v/>
      </c>
      <c r="AL55" s="15">
        <f>IF($D55=AL$1,$R55,IF($E55=AL$1,$S55,AL54))</f>
        <v/>
      </c>
      <c r="AM55" s="15">
        <f>IF($D55=AM$1,$R55,IF($E55=AM$1,$S55,AM54))</f>
        <v/>
      </c>
      <c r="AN55" s="15">
        <f>IF($D55=AN$1,$R55,IF($E55=AN$1,$S55,AN54))</f>
        <v/>
      </c>
      <c r="AO55" s="15">
        <f>IF($D55=AO$1,$R55,IF($E55=AO$1,$S55,AO54))</f>
        <v/>
      </c>
      <c r="AP55" s="15">
        <f>IF($D55=AP$1,$R55,IF($E55=AP$1,$S55,AP54))</f>
        <v/>
      </c>
      <c r="AQ55" s="15">
        <f>IF($D55=AQ$1,$R55,IF($E55=AQ$1,$S55,AQ54))</f>
        <v/>
      </c>
      <c r="AR55" s="15">
        <f>IF($D55=AR$1,$R55,IF($E55=AR$1,$S55,AR54))</f>
        <v/>
      </c>
      <c r="AS55" s="15">
        <f>IF($D55=AS$1,$R55,IF($E55=AS$1,$S55,AS54))</f>
        <v/>
      </c>
      <c r="AT55" s="15">
        <f>IF($D55=AT$1,$R55,IF($E55=AT$1,$S55,AT54))</f>
        <v/>
      </c>
      <c r="AU55" s="15">
        <f>IF($D55=AU$1,$R55,IF($E55=AU$1,$S55,AU54))</f>
        <v/>
      </c>
      <c r="AV55" s="15">
        <f>IF($D55=AV$1,$R55,IF($E55=AV$1,$S55,AV54))</f>
        <v/>
      </c>
      <c r="AW55" s="15">
        <f>IF($D55=AW$1,$R55,IF($E55=AW$1,$S55,AW54))</f>
        <v/>
      </c>
      <c r="AX55" s="15">
        <f>IF($D55=AX$1,$R55,IF($E55=AX$1,$S55,AX54))</f>
        <v/>
      </c>
      <c r="AY55" s="15">
        <f>IF($D55=AY$1,$R55,IF($E55=AY$1,$S55,AY54))</f>
        <v/>
      </c>
      <c r="AZ55" s="15">
        <f>IF($D55=AZ$1,$R55,IF($E55=AZ$1,$S55,AZ54))</f>
        <v/>
      </c>
      <c r="BA55" s="15">
        <f>IF($D55=BA$1,$R55,IF($E55=BA$1,$S55,BA54))</f>
        <v/>
      </c>
      <c r="BB55" s="15">
        <f>IF($D55=BB$1,$R55,IF($E55=BB$1,$S55,BB54))</f>
        <v/>
      </c>
      <c r="BC55" s="15">
        <f>IF($D55=BC$1,$R55,IF($E55=BC$1,$S55,BC54))</f>
        <v/>
      </c>
      <c r="BD55" s="15">
        <f>IF($D55=BD$1,$R55,IF($E55=BD$1,$S55,BD54))</f>
        <v/>
      </c>
      <c r="BE55" s="15">
        <f>IF($D55=BE$1,$R55,IF($E55=BE$1,$S55,BE54))</f>
        <v/>
      </c>
      <c r="BF55" s="15">
        <f>IF($D55=BF$1,$R55,IF($E55=BF$1,$S55,BF54))</f>
        <v/>
      </c>
      <c r="BG55" s="15">
        <f>IF($D55=BG$1,$R55,IF($E55=BG$1,$S55,BG54))</f>
        <v/>
      </c>
      <c r="BH55" s="15">
        <f>IF($D55=BH$1,$R55,IF($E55=BH$1,$S55,BH54))</f>
        <v/>
      </c>
      <c r="BI55" s="15">
        <f>IF($D55=BI$1,$R55,IF($E55=BI$1,$S55,BI54))</f>
        <v/>
      </c>
      <c r="BJ55" s="15">
        <f>IF($D55=BJ$1,$R55,IF($E55=BJ$1,$S55,BJ54))</f>
        <v/>
      </c>
      <c r="BK55" s="15">
        <f>IF($D55=BK$1,$R55,IF($E55=BK$1,$S55,BK54))</f>
        <v/>
      </c>
      <c r="BL55" s="15">
        <f>IF($D55=BL$1,$R55,IF($E55=BL$1,$S55,BL54))</f>
        <v/>
      </c>
      <c r="BM55" s="15">
        <f>IF($D55=BM$1,$R55,IF($E55=BM$1,$S55,BM54))</f>
        <v/>
      </c>
      <c r="BN55" s="15">
        <f>IF($D55=BN$1,$R55,IF($E55=BN$1,$S55,BN54))</f>
        <v/>
      </c>
      <c r="BO55" s="15">
        <f>IF($D55=BO$1,$R55,IF($E55=BO$1,$S55,BO54))</f>
        <v/>
      </c>
      <c r="BP55" s="15">
        <f>IF($D55=BP$1,$R55,IF($E55=BP$1,$S55,BP54))</f>
        <v/>
      </c>
      <c r="BQ55" s="15">
        <f>IF($D55=BQ$1,$R55,IF($E55=BQ$1,$S55,BQ54))</f>
        <v/>
      </c>
      <c r="BR55" s="15">
        <f>IF($D55=BR$1,$R55,IF($E55=BR$1,$S55,BR54))</f>
        <v/>
      </c>
      <c r="BS55" s="15">
        <f>IF($D55=BS$1,$R55,IF($E55=BS$1,$S55,BS54))</f>
        <v/>
      </c>
      <c r="BT55" s="15">
        <f>IF($D55=BT$1,$R55,IF($E55=BT$1,$S55,BT54))</f>
        <v/>
      </c>
      <c r="BU55" s="15">
        <f>IF($D55=BU$1,$R55,IF($E55=BU$1,$S55,BU54))</f>
        <v/>
      </c>
      <c r="BV55" s="15">
        <f>IF($D55=BV$1,$R55,IF($E55=BV$1,$S55,BV54))</f>
        <v/>
      </c>
      <c r="BW55" s="15">
        <f>IF($D55=BW$1,$R55,IF($E55=BW$1,$S55,BW54))</f>
        <v/>
      </c>
      <c r="BX55" s="15">
        <f>IF($D55=BX$1,$R55,IF($E55=BX$1,$S55,BX54))</f>
        <v/>
      </c>
      <c r="BY55" s="15">
        <f>IF($D55=BY$1,$R55,IF($E55=BY$1,$S55,BY54))</f>
        <v/>
      </c>
      <c r="BZ55" s="15">
        <f>IF($D55=BZ$1,$R55,IF($E55=BZ$1,$S55,BZ54))</f>
        <v/>
      </c>
    </row>
    <row r="56" ht="15" customHeight="1">
      <c r="A56" s="7">
        <f>Fixture!A55</f>
        <v/>
      </c>
      <c r="B56" s="7">
        <f>Fixture!B55</f>
        <v/>
      </c>
      <c r="C56" s="7">
        <f>Fixture!C55</f>
        <v/>
      </c>
      <c r="D56" s="7">
        <f>Fixture!E55</f>
        <v/>
      </c>
      <c r="E56" s="7">
        <f>Fixture!F55</f>
        <v/>
      </c>
      <c r="F56" s="7">
        <f>Fixture!J55</f>
        <v/>
      </c>
      <c r="G56" s="7">
        <f>Fixture!K55</f>
        <v/>
      </c>
      <c r="H56" s="7">
        <f>IF(ISNUMBER(Resultados!B55),1,0)</f>
        <v/>
      </c>
      <c r="I56" s="7">
        <f>IF($H56=1,Resultados!B55,0)</f>
        <v/>
      </c>
      <c r="J56" s="7">
        <f>IF($H56=1,Resultados!C55,0)</f>
        <v/>
      </c>
      <c r="K56" s="12">
        <f>IFERROR(INDEX($AE55:$BZ55,MATCH($D56,$AE$1:$BZ$1,0)),"")</f>
        <v/>
      </c>
      <c r="L56" s="12">
        <f>IFERROR(INDEX($AE55:$BZ55,MATCH($E56,$AE$1:$BZ$1,0)),"")</f>
        <v/>
      </c>
      <c r="M56" s="12">
        <f>IF(OR($K56="",$L56=""),"",($K56+100*$F56)-($L56+100*$G56))</f>
        <v/>
      </c>
      <c r="N56" s="13">
        <f>IF($M56="","",1/(1+10^(-$M56/400)))</f>
        <v/>
      </c>
      <c r="O56" s="7">
        <f>IF(OR($H56=0,$N56=""),"",IF($I56&gt;$J56,1,IF($I56=$J56,0.5,0)))</f>
        <v/>
      </c>
      <c r="P56" s="14">
        <f>IF($O56="","",IF(ABS($I56-$J56)&lt;=1,1,IF(ABS($I56-$J56)=2,1.5,IF(ABS($I56-$J56)=3,1.75,1.75+(ABS($I56-$J56)-3)/8))))</f>
        <v/>
      </c>
      <c r="Q56" s="14">
        <f>IF($O56="",0,Equipos!$O$4*$P56*($O56-$N56))</f>
        <v/>
      </c>
      <c r="R56" s="12">
        <f>IF($K56="","",$K56+$Q56)</f>
        <v/>
      </c>
      <c r="S56" s="12">
        <f>IF($L56="","",$L56-$Q56)</f>
        <v/>
      </c>
      <c r="T56" s="14">
        <f>IF($M56="","",Equipos!$O$3*$M56)</f>
        <v/>
      </c>
      <c r="U56" s="14">
        <f>IFERROR(VLOOKUP($D56,Equipos!$A:$H,6,0),"")</f>
        <v/>
      </c>
      <c r="V56" s="14">
        <f>IFERROR(VLOOKUP($D56,Equipos!$A:$H,7,0),"")</f>
        <v/>
      </c>
      <c r="W56" s="14">
        <f>IFERROR(VLOOKUP($E56,Equipos!$A:$H,6,0),"")</f>
        <v/>
      </c>
      <c r="X56" s="14">
        <f>IFERROR(VLOOKUP($E56,Equipos!$A:$H,7,0),"")</f>
        <v/>
      </c>
      <c r="Y56" s="14">
        <f>IF(OR($U56="",$W56=""),"",MIN(3.6,MAX(1.8,Equipos!$O$2*SQRT($U56*$W56*$V56*$X56))))</f>
        <v/>
      </c>
      <c r="Z56" s="14">
        <f>IF(OR($Y56="",$T56=""),"",MAX(0.2,($Y56+$T56)/2))</f>
        <v/>
      </c>
      <c r="AA56" s="14">
        <f>IF(OR($Y56="",$T56=""),"",MAX(0.2,($Y56-$T56)/2))</f>
        <v/>
      </c>
      <c r="AE56" s="15">
        <f>IF($D56=AE$1,$R56,IF($E56=AE$1,$S56,AE55))</f>
        <v/>
      </c>
      <c r="AF56" s="15">
        <f>IF($D56=AF$1,$R56,IF($E56=AF$1,$S56,AF55))</f>
        <v/>
      </c>
      <c r="AG56" s="15">
        <f>IF($D56=AG$1,$R56,IF($E56=AG$1,$S56,AG55))</f>
        <v/>
      </c>
      <c r="AH56" s="15">
        <f>IF($D56=AH$1,$R56,IF($E56=AH$1,$S56,AH55))</f>
        <v/>
      </c>
      <c r="AI56" s="15">
        <f>IF($D56=AI$1,$R56,IF($E56=AI$1,$S56,AI55))</f>
        <v/>
      </c>
      <c r="AJ56" s="15">
        <f>IF($D56=AJ$1,$R56,IF($E56=AJ$1,$S56,AJ55))</f>
        <v/>
      </c>
      <c r="AK56" s="15">
        <f>IF($D56=AK$1,$R56,IF($E56=AK$1,$S56,AK55))</f>
        <v/>
      </c>
      <c r="AL56" s="15">
        <f>IF($D56=AL$1,$R56,IF($E56=AL$1,$S56,AL55))</f>
        <v/>
      </c>
      <c r="AM56" s="15">
        <f>IF($D56=AM$1,$R56,IF($E56=AM$1,$S56,AM55))</f>
        <v/>
      </c>
      <c r="AN56" s="15">
        <f>IF($D56=AN$1,$R56,IF($E56=AN$1,$S56,AN55))</f>
        <v/>
      </c>
      <c r="AO56" s="15">
        <f>IF($D56=AO$1,$R56,IF($E56=AO$1,$S56,AO55))</f>
        <v/>
      </c>
      <c r="AP56" s="15">
        <f>IF($D56=AP$1,$R56,IF($E56=AP$1,$S56,AP55))</f>
        <v/>
      </c>
      <c r="AQ56" s="15">
        <f>IF($D56=AQ$1,$R56,IF($E56=AQ$1,$S56,AQ55))</f>
        <v/>
      </c>
      <c r="AR56" s="15">
        <f>IF($D56=AR$1,$R56,IF($E56=AR$1,$S56,AR55))</f>
        <v/>
      </c>
      <c r="AS56" s="15">
        <f>IF($D56=AS$1,$R56,IF($E56=AS$1,$S56,AS55))</f>
        <v/>
      </c>
      <c r="AT56" s="15">
        <f>IF($D56=AT$1,$R56,IF($E56=AT$1,$S56,AT55))</f>
        <v/>
      </c>
      <c r="AU56" s="15">
        <f>IF($D56=AU$1,$R56,IF($E56=AU$1,$S56,AU55))</f>
        <v/>
      </c>
      <c r="AV56" s="15">
        <f>IF($D56=AV$1,$R56,IF($E56=AV$1,$S56,AV55))</f>
        <v/>
      </c>
      <c r="AW56" s="15">
        <f>IF($D56=AW$1,$R56,IF($E56=AW$1,$S56,AW55))</f>
        <v/>
      </c>
      <c r="AX56" s="15">
        <f>IF($D56=AX$1,$R56,IF($E56=AX$1,$S56,AX55))</f>
        <v/>
      </c>
      <c r="AY56" s="15">
        <f>IF($D56=AY$1,$R56,IF($E56=AY$1,$S56,AY55))</f>
        <v/>
      </c>
      <c r="AZ56" s="15">
        <f>IF($D56=AZ$1,$R56,IF($E56=AZ$1,$S56,AZ55))</f>
        <v/>
      </c>
      <c r="BA56" s="15">
        <f>IF($D56=BA$1,$R56,IF($E56=BA$1,$S56,BA55))</f>
        <v/>
      </c>
      <c r="BB56" s="15">
        <f>IF($D56=BB$1,$R56,IF($E56=BB$1,$S56,BB55))</f>
        <v/>
      </c>
      <c r="BC56" s="15">
        <f>IF($D56=BC$1,$R56,IF($E56=BC$1,$S56,BC55))</f>
        <v/>
      </c>
      <c r="BD56" s="15">
        <f>IF($D56=BD$1,$R56,IF($E56=BD$1,$S56,BD55))</f>
        <v/>
      </c>
      <c r="BE56" s="15">
        <f>IF($D56=BE$1,$R56,IF($E56=BE$1,$S56,BE55))</f>
        <v/>
      </c>
      <c r="BF56" s="15">
        <f>IF($D56=BF$1,$R56,IF($E56=BF$1,$S56,BF55))</f>
        <v/>
      </c>
      <c r="BG56" s="15">
        <f>IF($D56=BG$1,$R56,IF($E56=BG$1,$S56,BG55))</f>
        <v/>
      </c>
      <c r="BH56" s="15">
        <f>IF($D56=BH$1,$R56,IF($E56=BH$1,$S56,BH55))</f>
        <v/>
      </c>
      <c r="BI56" s="15">
        <f>IF($D56=BI$1,$R56,IF($E56=BI$1,$S56,BI55))</f>
        <v/>
      </c>
      <c r="BJ56" s="15">
        <f>IF($D56=BJ$1,$R56,IF($E56=BJ$1,$S56,BJ55))</f>
        <v/>
      </c>
      <c r="BK56" s="15">
        <f>IF($D56=BK$1,$R56,IF($E56=BK$1,$S56,BK55))</f>
        <v/>
      </c>
      <c r="BL56" s="15">
        <f>IF($D56=BL$1,$R56,IF($E56=BL$1,$S56,BL55))</f>
        <v/>
      </c>
      <c r="BM56" s="15">
        <f>IF($D56=BM$1,$R56,IF($E56=BM$1,$S56,BM55))</f>
        <v/>
      </c>
      <c r="BN56" s="15">
        <f>IF($D56=BN$1,$R56,IF($E56=BN$1,$S56,BN55))</f>
        <v/>
      </c>
      <c r="BO56" s="15">
        <f>IF($D56=BO$1,$R56,IF($E56=BO$1,$S56,BO55))</f>
        <v/>
      </c>
      <c r="BP56" s="15">
        <f>IF($D56=BP$1,$R56,IF($E56=BP$1,$S56,BP55))</f>
        <v/>
      </c>
      <c r="BQ56" s="15">
        <f>IF($D56=BQ$1,$R56,IF($E56=BQ$1,$S56,BQ55))</f>
        <v/>
      </c>
      <c r="BR56" s="15">
        <f>IF($D56=BR$1,$R56,IF($E56=BR$1,$S56,BR55))</f>
        <v/>
      </c>
      <c r="BS56" s="15">
        <f>IF($D56=BS$1,$R56,IF($E56=BS$1,$S56,BS55))</f>
        <v/>
      </c>
      <c r="BT56" s="15">
        <f>IF($D56=BT$1,$R56,IF($E56=BT$1,$S56,BT55))</f>
        <v/>
      </c>
      <c r="BU56" s="15">
        <f>IF($D56=BU$1,$R56,IF($E56=BU$1,$S56,BU55))</f>
        <v/>
      </c>
      <c r="BV56" s="15">
        <f>IF($D56=BV$1,$R56,IF($E56=BV$1,$S56,BV55))</f>
        <v/>
      </c>
      <c r="BW56" s="15">
        <f>IF($D56=BW$1,$R56,IF($E56=BW$1,$S56,BW55))</f>
        <v/>
      </c>
      <c r="BX56" s="15">
        <f>IF($D56=BX$1,$R56,IF($E56=BX$1,$S56,BX55))</f>
        <v/>
      </c>
      <c r="BY56" s="15">
        <f>IF($D56=BY$1,$R56,IF($E56=BY$1,$S56,BY55))</f>
        <v/>
      </c>
      <c r="BZ56" s="15">
        <f>IF($D56=BZ$1,$R56,IF($E56=BZ$1,$S56,BZ55))</f>
        <v/>
      </c>
    </row>
    <row r="57" ht="15" customHeight="1">
      <c r="A57" s="7">
        <f>Fixture!A56</f>
        <v/>
      </c>
      <c r="B57" s="7">
        <f>Fixture!B56</f>
        <v/>
      </c>
      <c r="C57" s="7">
        <f>Fixture!C56</f>
        <v/>
      </c>
      <c r="D57" s="7">
        <f>Fixture!E56</f>
        <v/>
      </c>
      <c r="E57" s="7">
        <f>Fixture!F56</f>
        <v/>
      </c>
      <c r="F57" s="7">
        <f>Fixture!J56</f>
        <v/>
      </c>
      <c r="G57" s="7">
        <f>Fixture!K56</f>
        <v/>
      </c>
      <c r="H57" s="7">
        <f>IF(ISNUMBER(Resultados!B56),1,0)</f>
        <v/>
      </c>
      <c r="I57" s="7">
        <f>IF($H57=1,Resultados!B56,0)</f>
        <v/>
      </c>
      <c r="J57" s="7">
        <f>IF($H57=1,Resultados!C56,0)</f>
        <v/>
      </c>
      <c r="K57" s="12">
        <f>IFERROR(INDEX($AE56:$BZ56,MATCH($D57,$AE$1:$BZ$1,0)),"")</f>
        <v/>
      </c>
      <c r="L57" s="12">
        <f>IFERROR(INDEX($AE56:$BZ56,MATCH($E57,$AE$1:$BZ$1,0)),"")</f>
        <v/>
      </c>
      <c r="M57" s="12">
        <f>IF(OR($K57="",$L57=""),"",($K57+100*$F57)-($L57+100*$G57))</f>
        <v/>
      </c>
      <c r="N57" s="13">
        <f>IF($M57="","",1/(1+10^(-$M57/400)))</f>
        <v/>
      </c>
      <c r="O57" s="7">
        <f>IF(OR($H57=0,$N57=""),"",IF($I57&gt;$J57,1,IF($I57=$J57,0.5,0)))</f>
        <v/>
      </c>
      <c r="P57" s="14">
        <f>IF($O57="","",IF(ABS($I57-$J57)&lt;=1,1,IF(ABS($I57-$J57)=2,1.5,IF(ABS($I57-$J57)=3,1.75,1.75+(ABS($I57-$J57)-3)/8))))</f>
        <v/>
      </c>
      <c r="Q57" s="14">
        <f>IF($O57="",0,Equipos!$O$4*$P57*($O57-$N57))</f>
        <v/>
      </c>
      <c r="R57" s="12">
        <f>IF($K57="","",$K57+$Q57)</f>
        <v/>
      </c>
      <c r="S57" s="12">
        <f>IF($L57="","",$L57-$Q57)</f>
        <v/>
      </c>
      <c r="T57" s="14">
        <f>IF($M57="","",Equipos!$O$3*$M57)</f>
        <v/>
      </c>
      <c r="U57" s="14">
        <f>IFERROR(VLOOKUP($D57,Equipos!$A:$H,6,0),"")</f>
        <v/>
      </c>
      <c r="V57" s="14">
        <f>IFERROR(VLOOKUP($D57,Equipos!$A:$H,7,0),"")</f>
        <v/>
      </c>
      <c r="W57" s="14">
        <f>IFERROR(VLOOKUP($E57,Equipos!$A:$H,6,0),"")</f>
        <v/>
      </c>
      <c r="X57" s="14">
        <f>IFERROR(VLOOKUP($E57,Equipos!$A:$H,7,0),"")</f>
        <v/>
      </c>
      <c r="Y57" s="14">
        <f>IF(OR($U57="",$W57=""),"",MIN(3.6,MAX(1.8,Equipos!$O$2*SQRT($U57*$W57*$V57*$X57))))</f>
        <v/>
      </c>
      <c r="Z57" s="14">
        <f>IF(OR($Y57="",$T57=""),"",MAX(0.2,($Y57+$T57)/2))</f>
        <v/>
      </c>
      <c r="AA57" s="14">
        <f>IF(OR($Y57="",$T57=""),"",MAX(0.2,($Y57-$T57)/2))</f>
        <v/>
      </c>
      <c r="AE57" s="15">
        <f>IF($D57=AE$1,$R57,IF($E57=AE$1,$S57,AE56))</f>
        <v/>
      </c>
      <c r="AF57" s="15">
        <f>IF($D57=AF$1,$R57,IF($E57=AF$1,$S57,AF56))</f>
        <v/>
      </c>
      <c r="AG57" s="15">
        <f>IF($D57=AG$1,$R57,IF($E57=AG$1,$S57,AG56))</f>
        <v/>
      </c>
      <c r="AH57" s="15">
        <f>IF($D57=AH$1,$R57,IF($E57=AH$1,$S57,AH56))</f>
        <v/>
      </c>
      <c r="AI57" s="15">
        <f>IF($D57=AI$1,$R57,IF($E57=AI$1,$S57,AI56))</f>
        <v/>
      </c>
      <c r="AJ57" s="15">
        <f>IF($D57=AJ$1,$R57,IF($E57=AJ$1,$S57,AJ56))</f>
        <v/>
      </c>
      <c r="AK57" s="15">
        <f>IF($D57=AK$1,$R57,IF($E57=AK$1,$S57,AK56))</f>
        <v/>
      </c>
      <c r="AL57" s="15">
        <f>IF($D57=AL$1,$R57,IF($E57=AL$1,$S57,AL56))</f>
        <v/>
      </c>
      <c r="AM57" s="15">
        <f>IF($D57=AM$1,$R57,IF($E57=AM$1,$S57,AM56))</f>
        <v/>
      </c>
      <c r="AN57" s="15">
        <f>IF($D57=AN$1,$R57,IF($E57=AN$1,$S57,AN56))</f>
        <v/>
      </c>
      <c r="AO57" s="15">
        <f>IF($D57=AO$1,$R57,IF($E57=AO$1,$S57,AO56))</f>
        <v/>
      </c>
      <c r="AP57" s="15">
        <f>IF($D57=AP$1,$R57,IF($E57=AP$1,$S57,AP56))</f>
        <v/>
      </c>
      <c r="AQ57" s="15">
        <f>IF($D57=AQ$1,$R57,IF($E57=AQ$1,$S57,AQ56))</f>
        <v/>
      </c>
      <c r="AR57" s="15">
        <f>IF($D57=AR$1,$R57,IF($E57=AR$1,$S57,AR56))</f>
        <v/>
      </c>
      <c r="AS57" s="15">
        <f>IF($D57=AS$1,$R57,IF($E57=AS$1,$S57,AS56))</f>
        <v/>
      </c>
      <c r="AT57" s="15">
        <f>IF($D57=AT$1,$R57,IF($E57=AT$1,$S57,AT56))</f>
        <v/>
      </c>
      <c r="AU57" s="15">
        <f>IF($D57=AU$1,$R57,IF($E57=AU$1,$S57,AU56))</f>
        <v/>
      </c>
      <c r="AV57" s="15">
        <f>IF($D57=AV$1,$R57,IF($E57=AV$1,$S57,AV56))</f>
        <v/>
      </c>
      <c r="AW57" s="15">
        <f>IF($D57=AW$1,$R57,IF($E57=AW$1,$S57,AW56))</f>
        <v/>
      </c>
      <c r="AX57" s="15">
        <f>IF($D57=AX$1,$R57,IF($E57=AX$1,$S57,AX56))</f>
        <v/>
      </c>
      <c r="AY57" s="15">
        <f>IF($D57=AY$1,$R57,IF($E57=AY$1,$S57,AY56))</f>
        <v/>
      </c>
      <c r="AZ57" s="15">
        <f>IF($D57=AZ$1,$R57,IF($E57=AZ$1,$S57,AZ56))</f>
        <v/>
      </c>
      <c r="BA57" s="15">
        <f>IF($D57=BA$1,$R57,IF($E57=BA$1,$S57,BA56))</f>
        <v/>
      </c>
      <c r="BB57" s="15">
        <f>IF($D57=BB$1,$R57,IF($E57=BB$1,$S57,BB56))</f>
        <v/>
      </c>
      <c r="BC57" s="15">
        <f>IF($D57=BC$1,$R57,IF($E57=BC$1,$S57,BC56))</f>
        <v/>
      </c>
      <c r="BD57" s="15">
        <f>IF($D57=BD$1,$R57,IF($E57=BD$1,$S57,BD56))</f>
        <v/>
      </c>
      <c r="BE57" s="15">
        <f>IF($D57=BE$1,$R57,IF($E57=BE$1,$S57,BE56))</f>
        <v/>
      </c>
      <c r="BF57" s="15">
        <f>IF($D57=BF$1,$R57,IF($E57=BF$1,$S57,BF56))</f>
        <v/>
      </c>
      <c r="BG57" s="15">
        <f>IF($D57=BG$1,$R57,IF($E57=BG$1,$S57,BG56))</f>
        <v/>
      </c>
      <c r="BH57" s="15">
        <f>IF($D57=BH$1,$R57,IF($E57=BH$1,$S57,BH56))</f>
        <v/>
      </c>
      <c r="BI57" s="15">
        <f>IF($D57=BI$1,$R57,IF($E57=BI$1,$S57,BI56))</f>
        <v/>
      </c>
      <c r="BJ57" s="15">
        <f>IF($D57=BJ$1,$R57,IF($E57=BJ$1,$S57,BJ56))</f>
        <v/>
      </c>
      <c r="BK57" s="15">
        <f>IF($D57=BK$1,$R57,IF($E57=BK$1,$S57,BK56))</f>
        <v/>
      </c>
      <c r="BL57" s="15">
        <f>IF($D57=BL$1,$R57,IF($E57=BL$1,$S57,BL56))</f>
        <v/>
      </c>
      <c r="BM57" s="15">
        <f>IF($D57=BM$1,$R57,IF($E57=BM$1,$S57,BM56))</f>
        <v/>
      </c>
      <c r="BN57" s="15">
        <f>IF($D57=BN$1,$R57,IF($E57=BN$1,$S57,BN56))</f>
        <v/>
      </c>
      <c r="BO57" s="15">
        <f>IF($D57=BO$1,$R57,IF($E57=BO$1,$S57,BO56))</f>
        <v/>
      </c>
      <c r="BP57" s="15">
        <f>IF($D57=BP$1,$R57,IF($E57=BP$1,$S57,BP56))</f>
        <v/>
      </c>
      <c r="BQ57" s="15">
        <f>IF($D57=BQ$1,$R57,IF($E57=BQ$1,$S57,BQ56))</f>
        <v/>
      </c>
      <c r="BR57" s="15">
        <f>IF($D57=BR$1,$R57,IF($E57=BR$1,$S57,BR56))</f>
        <v/>
      </c>
      <c r="BS57" s="15">
        <f>IF($D57=BS$1,$R57,IF($E57=BS$1,$S57,BS56))</f>
        <v/>
      </c>
      <c r="BT57" s="15">
        <f>IF($D57=BT$1,$R57,IF($E57=BT$1,$S57,BT56))</f>
        <v/>
      </c>
      <c r="BU57" s="15">
        <f>IF($D57=BU$1,$R57,IF($E57=BU$1,$S57,BU56))</f>
        <v/>
      </c>
      <c r="BV57" s="15">
        <f>IF($D57=BV$1,$R57,IF($E57=BV$1,$S57,BV56))</f>
        <v/>
      </c>
      <c r="BW57" s="15">
        <f>IF($D57=BW$1,$R57,IF($E57=BW$1,$S57,BW56))</f>
        <v/>
      </c>
      <c r="BX57" s="15">
        <f>IF($D57=BX$1,$R57,IF($E57=BX$1,$S57,BX56))</f>
        <v/>
      </c>
      <c r="BY57" s="15">
        <f>IF($D57=BY$1,$R57,IF($E57=BY$1,$S57,BY56))</f>
        <v/>
      </c>
      <c r="BZ57" s="15">
        <f>IF($D57=BZ$1,$R57,IF($E57=BZ$1,$S57,BZ56))</f>
        <v/>
      </c>
    </row>
    <row r="58" ht="15" customHeight="1">
      <c r="A58" s="7">
        <f>Fixture!A57</f>
        <v/>
      </c>
      <c r="B58" s="7">
        <f>Fixture!B57</f>
        <v/>
      </c>
      <c r="C58" s="7">
        <f>Fixture!C57</f>
        <v/>
      </c>
      <c r="D58" s="7">
        <f>Fixture!E57</f>
        <v/>
      </c>
      <c r="E58" s="7">
        <f>Fixture!F57</f>
        <v/>
      </c>
      <c r="F58" s="7">
        <f>Fixture!J57</f>
        <v/>
      </c>
      <c r="G58" s="7">
        <f>Fixture!K57</f>
        <v/>
      </c>
      <c r="H58" s="7">
        <f>IF(ISNUMBER(Resultados!B57),1,0)</f>
        <v/>
      </c>
      <c r="I58" s="7">
        <f>IF($H58=1,Resultados!B57,0)</f>
        <v/>
      </c>
      <c r="J58" s="7">
        <f>IF($H58=1,Resultados!C57,0)</f>
        <v/>
      </c>
      <c r="K58" s="12">
        <f>IFERROR(INDEX($AE57:$BZ57,MATCH($D58,$AE$1:$BZ$1,0)),"")</f>
        <v/>
      </c>
      <c r="L58" s="12">
        <f>IFERROR(INDEX($AE57:$BZ57,MATCH($E58,$AE$1:$BZ$1,0)),"")</f>
        <v/>
      </c>
      <c r="M58" s="12">
        <f>IF(OR($K58="",$L58=""),"",($K58+100*$F58)-($L58+100*$G58))</f>
        <v/>
      </c>
      <c r="N58" s="13">
        <f>IF($M58="","",1/(1+10^(-$M58/400)))</f>
        <v/>
      </c>
      <c r="O58" s="7">
        <f>IF(OR($H58=0,$N58=""),"",IF($I58&gt;$J58,1,IF($I58=$J58,0.5,0)))</f>
        <v/>
      </c>
      <c r="P58" s="14">
        <f>IF($O58="","",IF(ABS($I58-$J58)&lt;=1,1,IF(ABS($I58-$J58)=2,1.5,IF(ABS($I58-$J58)=3,1.75,1.75+(ABS($I58-$J58)-3)/8))))</f>
        <v/>
      </c>
      <c r="Q58" s="14">
        <f>IF($O58="",0,Equipos!$O$4*$P58*($O58-$N58))</f>
        <v/>
      </c>
      <c r="R58" s="12">
        <f>IF($K58="","",$K58+$Q58)</f>
        <v/>
      </c>
      <c r="S58" s="12">
        <f>IF($L58="","",$L58-$Q58)</f>
        <v/>
      </c>
      <c r="T58" s="14">
        <f>IF($M58="","",Equipos!$O$3*$M58)</f>
        <v/>
      </c>
      <c r="U58" s="14">
        <f>IFERROR(VLOOKUP($D58,Equipos!$A:$H,6,0),"")</f>
        <v/>
      </c>
      <c r="V58" s="14">
        <f>IFERROR(VLOOKUP($D58,Equipos!$A:$H,7,0),"")</f>
        <v/>
      </c>
      <c r="W58" s="14">
        <f>IFERROR(VLOOKUP($E58,Equipos!$A:$H,6,0),"")</f>
        <v/>
      </c>
      <c r="X58" s="14">
        <f>IFERROR(VLOOKUP($E58,Equipos!$A:$H,7,0),"")</f>
        <v/>
      </c>
      <c r="Y58" s="14">
        <f>IF(OR($U58="",$W58=""),"",MIN(3.6,MAX(1.8,Equipos!$O$2*SQRT($U58*$W58*$V58*$X58))))</f>
        <v/>
      </c>
      <c r="Z58" s="14">
        <f>IF(OR($Y58="",$T58=""),"",MAX(0.2,($Y58+$T58)/2))</f>
        <v/>
      </c>
      <c r="AA58" s="14">
        <f>IF(OR($Y58="",$T58=""),"",MAX(0.2,($Y58-$T58)/2))</f>
        <v/>
      </c>
      <c r="AE58" s="15">
        <f>IF($D58=AE$1,$R58,IF($E58=AE$1,$S58,AE57))</f>
        <v/>
      </c>
      <c r="AF58" s="15">
        <f>IF($D58=AF$1,$R58,IF($E58=AF$1,$S58,AF57))</f>
        <v/>
      </c>
      <c r="AG58" s="15">
        <f>IF($D58=AG$1,$R58,IF($E58=AG$1,$S58,AG57))</f>
        <v/>
      </c>
      <c r="AH58" s="15">
        <f>IF($D58=AH$1,$R58,IF($E58=AH$1,$S58,AH57))</f>
        <v/>
      </c>
      <c r="AI58" s="15">
        <f>IF($D58=AI$1,$R58,IF($E58=AI$1,$S58,AI57))</f>
        <v/>
      </c>
      <c r="AJ58" s="15">
        <f>IF($D58=AJ$1,$R58,IF($E58=AJ$1,$S58,AJ57))</f>
        <v/>
      </c>
      <c r="AK58" s="15">
        <f>IF($D58=AK$1,$R58,IF($E58=AK$1,$S58,AK57))</f>
        <v/>
      </c>
      <c r="AL58" s="15">
        <f>IF($D58=AL$1,$R58,IF($E58=AL$1,$S58,AL57))</f>
        <v/>
      </c>
      <c r="AM58" s="15">
        <f>IF($D58=AM$1,$R58,IF($E58=AM$1,$S58,AM57))</f>
        <v/>
      </c>
      <c r="AN58" s="15">
        <f>IF($D58=AN$1,$R58,IF($E58=AN$1,$S58,AN57))</f>
        <v/>
      </c>
      <c r="AO58" s="15">
        <f>IF($D58=AO$1,$R58,IF($E58=AO$1,$S58,AO57))</f>
        <v/>
      </c>
      <c r="AP58" s="15">
        <f>IF($D58=AP$1,$R58,IF($E58=AP$1,$S58,AP57))</f>
        <v/>
      </c>
      <c r="AQ58" s="15">
        <f>IF($D58=AQ$1,$R58,IF($E58=AQ$1,$S58,AQ57))</f>
        <v/>
      </c>
      <c r="AR58" s="15">
        <f>IF($D58=AR$1,$R58,IF($E58=AR$1,$S58,AR57))</f>
        <v/>
      </c>
      <c r="AS58" s="15">
        <f>IF($D58=AS$1,$R58,IF($E58=AS$1,$S58,AS57))</f>
        <v/>
      </c>
      <c r="AT58" s="15">
        <f>IF($D58=AT$1,$R58,IF($E58=AT$1,$S58,AT57))</f>
        <v/>
      </c>
      <c r="AU58" s="15">
        <f>IF($D58=AU$1,$R58,IF($E58=AU$1,$S58,AU57))</f>
        <v/>
      </c>
      <c r="AV58" s="15">
        <f>IF($D58=AV$1,$R58,IF($E58=AV$1,$S58,AV57))</f>
        <v/>
      </c>
      <c r="AW58" s="15">
        <f>IF($D58=AW$1,$R58,IF($E58=AW$1,$S58,AW57))</f>
        <v/>
      </c>
      <c r="AX58" s="15">
        <f>IF($D58=AX$1,$R58,IF($E58=AX$1,$S58,AX57))</f>
        <v/>
      </c>
      <c r="AY58" s="15">
        <f>IF($D58=AY$1,$R58,IF($E58=AY$1,$S58,AY57))</f>
        <v/>
      </c>
      <c r="AZ58" s="15">
        <f>IF($D58=AZ$1,$R58,IF($E58=AZ$1,$S58,AZ57))</f>
        <v/>
      </c>
      <c r="BA58" s="15">
        <f>IF($D58=BA$1,$R58,IF($E58=BA$1,$S58,BA57))</f>
        <v/>
      </c>
      <c r="BB58" s="15">
        <f>IF($D58=BB$1,$R58,IF($E58=BB$1,$S58,BB57))</f>
        <v/>
      </c>
      <c r="BC58" s="15">
        <f>IF($D58=BC$1,$R58,IF($E58=BC$1,$S58,BC57))</f>
        <v/>
      </c>
      <c r="BD58" s="15">
        <f>IF($D58=BD$1,$R58,IF($E58=BD$1,$S58,BD57))</f>
        <v/>
      </c>
      <c r="BE58" s="15">
        <f>IF($D58=BE$1,$R58,IF($E58=BE$1,$S58,BE57))</f>
        <v/>
      </c>
      <c r="BF58" s="15">
        <f>IF($D58=BF$1,$R58,IF($E58=BF$1,$S58,BF57))</f>
        <v/>
      </c>
      <c r="BG58" s="15">
        <f>IF($D58=BG$1,$R58,IF($E58=BG$1,$S58,BG57))</f>
        <v/>
      </c>
      <c r="BH58" s="15">
        <f>IF($D58=BH$1,$R58,IF($E58=BH$1,$S58,BH57))</f>
        <v/>
      </c>
      <c r="BI58" s="15">
        <f>IF($D58=BI$1,$R58,IF($E58=BI$1,$S58,BI57))</f>
        <v/>
      </c>
      <c r="BJ58" s="15">
        <f>IF($D58=BJ$1,$R58,IF($E58=BJ$1,$S58,BJ57))</f>
        <v/>
      </c>
      <c r="BK58" s="15">
        <f>IF($D58=BK$1,$R58,IF($E58=BK$1,$S58,BK57))</f>
        <v/>
      </c>
      <c r="BL58" s="15">
        <f>IF($D58=BL$1,$R58,IF($E58=BL$1,$S58,BL57))</f>
        <v/>
      </c>
      <c r="BM58" s="15">
        <f>IF($D58=BM$1,$R58,IF($E58=BM$1,$S58,BM57))</f>
        <v/>
      </c>
      <c r="BN58" s="15">
        <f>IF($D58=BN$1,$R58,IF($E58=BN$1,$S58,BN57))</f>
        <v/>
      </c>
      <c r="BO58" s="15">
        <f>IF($D58=BO$1,$R58,IF($E58=BO$1,$S58,BO57))</f>
        <v/>
      </c>
      <c r="BP58" s="15">
        <f>IF($D58=BP$1,$R58,IF($E58=BP$1,$S58,BP57))</f>
        <v/>
      </c>
      <c r="BQ58" s="15">
        <f>IF($D58=BQ$1,$R58,IF($E58=BQ$1,$S58,BQ57))</f>
        <v/>
      </c>
      <c r="BR58" s="15">
        <f>IF($D58=BR$1,$R58,IF($E58=BR$1,$S58,BR57))</f>
        <v/>
      </c>
      <c r="BS58" s="15">
        <f>IF($D58=BS$1,$R58,IF($E58=BS$1,$S58,BS57))</f>
        <v/>
      </c>
      <c r="BT58" s="15">
        <f>IF($D58=BT$1,$R58,IF($E58=BT$1,$S58,BT57))</f>
        <v/>
      </c>
      <c r="BU58" s="15">
        <f>IF($D58=BU$1,$R58,IF($E58=BU$1,$S58,BU57))</f>
        <v/>
      </c>
      <c r="BV58" s="15">
        <f>IF($D58=BV$1,$R58,IF($E58=BV$1,$S58,BV57))</f>
        <v/>
      </c>
      <c r="BW58" s="15">
        <f>IF($D58=BW$1,$R58,IF($E58=BW$1,$S58,BW57))</f>
        <v/>
      </c>
      <c r="BX58" s="15">
        <f>IF($D58=BX$1,$R58,IF($E58=BX$1,$S58,BX57))</f>
        <v/>
      </c>
      <c r="BY58" s="15">
        <f>IF($D58=BY$1,$R58,IF($E58=BY$1,$S58,BY57))</f>
        <v/>
      </c>
      <c r="BZ58" s="15">
        <f>IF($D58=BZ$1,$R58,IF($E58=BZ$1,$S58,BZ57))</f>
        <v/>
      </c>
    </row>
    <row r="59" ht="15" customHeight="1">
      <c r="A59" s="7">
        <f>Fixture!A58</f>
        <v/>
      </c>
      <c r="B59" s="7">
        <f>Fixture!B58</f>
        <v/>
      </c>
      <c r="C59" s="7">
        <f>Fixture!C58</f>
        <v/>
      </c>
      <c r="D59" s="7">
        <f>Fixture!E58</f>
        <v/>
      </c>
      <c r="E59" s="7">
        <f>Fixture!F58</f>
        <v/>
      </c>
      <c r="F59" s="7">
        <f>Fixture!J58</f>
        <v/>
      </c>
      <c r="G59" s="7">
        <f>Fixture!K58</f>
        <v/>
      </c>
      <c r="H59" s="7">
        <f>IF(ISNUMBER(Resultados!B58),1,0)</f>
        <v/>
      </c>
      <c r="I59" s="7">
        <f>IF($H59=1,Resultados!B58,0)</f>
        <v/>
      </c>
      <c r="J59" s="7">
        <f>IF($H59=1,Resultados!C58,0)</f>
        <v/>
      </c>
      <c r="K59" s="12">
        <f>IFERROR(INDEX($AE58:$BZ58,MATCH($D59,$AE$1:$BZ$1,0)),"")</f>
        <v/>
      </c>
      <c r="L59" s="12">
        <f>IFERROR(INDEX($AE58:$BZ58,MATCH($E59,$AE$1:$BZ$1,0)),"")</f>
        <v/>
      </c>
      <c r="M59" s="12">
        <f>IF(OR($K59="",$L59=""),"",($K59+100*$F59)-($L59+100*$G59))</f>
        <v/>
      </c>
      <c r="N59" s="13">
        <f>IF($M59="","",1/(1+10^(-$M59/400)))</f>
        <v/>
      </c>
      <c r="O59" s="7">
        <f>IF(OR($H59=0,$N59=""),"",IF($I59&gt;$J59,1,IF($I59=$J59,0.5,0)))</f>
        <v/>
      </c>
      <c r="P59" s="14">
        <f>IF($O59="","",IF(ABS($I59-$J59)&lt;=1,1,IF(ABS($I59-$J59)=2,1.5,IF(ABS($I59-$J59)=3,1.75,1.75+(ABS($I59-$J59)-3)/8))))</f>
        <v/>
      </c>
      <c r="Q59" s="14">
        <f>IF($O59="",0,Equipos!$O$4*$P59*($O59-$N59))</f>
        <v/>
      </c>
      <c r="R59" s="12">
        <f>IF($K59="","",$K59+$Q59)</f>
        <v/>
      </c>
      <c r="S59" s="12">
        <f>IF($L59="","",$L59-$Q59)</f>
        <v/>
      </c>
      <c r="T59" s="14">
        <f>IF($M59="","",Equipos!$O$3*$M59)</f>
        <v/>
      </c>
      <c r="U59" s="14">
        <f>IFERROR(VLOOKUP($D59,Equipos!$A:$H,6,0),"")</f>
        <v/>
      </c>
      <c r="V59" s="14">
        <f>IFERROR(VLOOKUP($D59,Equipos!$A:$H,7,0),"")</f>
        <v/>
      </c>
      <c r="W59" s="14">
        <f>IFERROR(VLOOKUP($E59,Equipos!$A:$H,6,0),"")</f>
        <v/>
      </c>
      <c r="X59" s="14">
        <f>IFERROR(VLOOKUP($E59,Equipos!$A:$H,7,0),"")</f>
        <v/>
      </c>
      <c r="Y59" s="14">
        <f>IF(OR($U59="",$W59=""),"",MIN(3.6,MAX(1.8,Equipos!$O$2*SQRT($U59*$W59*$V59*$X59))))</f>
        <v/>
      </c>
      <c r="Z59" s="14">
        <f>IF(OR($Y59="",$T59=""),"",MAX(0.2,($Y59+$T59)/2))</f>
        <v/>
      </c>
      <c r="AA59" s="14">
        <f>IF(OR($Y59="",$T59=""),"",MAX(0.2,($Y59-$T59)/2))</f>
        <v/>
      </c>
      <c r="AE59" s="15">
        <f>IF($D59=AE$1,$R59,IF($E59=AE$1,$S59,AE58))</f>
        <v/>
      </c>
      <c r="AF59" s="15">
        <f>IF($D59=AF$1,$R59,IF($E59=AF$1,$S59,AF58))</f>
        <v/>
      </c>
      <c r="AG59" s="15">
        <f>IF($D59=AG$1,$R59,IF($E59=AG$1,$S59,AG58))</f>
        <v/>
      </c>
      <c r="AH59" s="15">
        <f>IF($D59=AH$1,$R59,IF($E59=AH$1,$S59,AH58))</f>
        <v/>
      </c>
      <c r="AI59" s="15">
        <f>IF($D59=AI$1,$R59,IF($E59=AI$1,$S59,AI58))</f>
        <v/>
      </c>
      <c r="AJ59" s="15">
        <f>IF($D59=AJ$1,$R59,IF($E59=AJ$1,$S59,AJ58))</f>
        <v/>
      </c>
      <c r="AK59" s="15">
        <f>IF($D59=AK$1,$R59,IF($E59=AK$1,$S59,AK58))</f>
        <v/>
      </c>
      <c r="AL59" s="15">
        <f>IF($D59=AL$1,$R59,IF($E59=AL$1,$S59,AL58))</f>
        <v/>
      </c>
      <c r="AM59" s="15">
        <f>IF($D59=AM$1,$R59,IF($E59=AM$1,$S59,AM58))</f>
        <v/>
      </c>
      <c r="AN59" s="15">
        <f>IF($D59=AN$1,$R59,IF($E59=AN$1,$S59,AN58))</f>
        <v/>
      </c>
      <c r="AO59" s="15">
        <f>IF($D59=AO$1,$R59,IF($E59=AO$1,$S59,AO58))</f>
        <v/>
      </c>
      <c r="AP59" s="15">
        <f>IF($D59=AP$1,$R59,IF($E59=AP$1,$S59,AP58))</f>
        <v/>
      </c>
      <c r="AQ59" s="15">
        <f>IF($D59=AQ$1,$R59,IF($E59=AQ$1,$S59,AQ58))</f>
        <v/>
      </c>
      <c r="AR59" s="15">
        <f>IF($D59=AR$1,$R59,IF($E59=AR$1,$S59,AR58))</f>
        <v/>
      </c>
      <c r="AS59" s="15">
        <f>IF($D59=AS$1,$R59,IF($E59=AS$1,$S59,AS58))</f>
        <v/>
      </c>
      <c r="AT59" s="15">
        <f>IF($D59=AT$1,$R59,IF($E59=AT$1,$S59,AT58))</f>
        <v/>
      </c>
      <c r="AU59" s="15">
        <f>IF($D59=AU$1,$R59,IF($E59=AU$1,$S59,AU58))</f>
        <v/>
      </c>
      <c r="AV59" s="15">
        <f>IF($D59=AV$1,$R59,IF($E59=AV$1,$S59,AV58))</f>
        <v/>
      </c>
      <c r="AW59" s="15">
        <f>IF($D59=AW$1,$R59,IF($E59=AW$1,$S59,AW58))</f>
        <v/>
      </c>
      <c r="AX59" s="15">
        <f>IF($D59=AX$1,$R59,IF($E59=AX$1,$S59,AX58))</f>
        <v/>
      </c>
      <c r="AY59" s="15">
        <f>IF($D59=AY$1,$R59,IF($E59=AY$1,$S59,AY58))</f>
        <v/>
      </c>
      <c r="AZ59" s="15">
        <f>IF($D59=AZ$1,$R59,IF($E59=AZ$1,$S59,AZ58))</f>
        <v/>
      </c>
      <c r="BA59" s="15">
        <f>IF($D59=BA$1,$R59,IF($E59=BA$1,$S59,BA58))</f>
        <v/>
      </c>
      <c r="BB59" s="15">
        <f>IF($D59=BB$1,$R59,IF($E59=BB$1,$S59,BB58))</f>
        <v/>
      </c>
      <c r="BC59" s="15">
        <f>IF($D59=BC$1,$R59,IF($E59=BC$1,$S59,BC58))</f>
        <v/>
      </c>
      <c r="BD59" s="15">
        <f>IF($D59=BD$1,$R59,IF($E59=BD$1,$S59,BD58))</f>
        <v/>
      </c>
      <c r="BE59" s="15">
        <f>IF($D59=BE$1,$R59,IF($E59=BE$1,$S59,BE58))</f>
        <v/>
      </c>
      <c r="BF59" s="15">
        <f>IF($D59=BF$1,$R59,IF($E59=BF$1,$S59,BF58))</f>
        <v/>
      </c>
      <c r="BG59" s="15">
        <f>IF($D59=BG$1,$R59,IF($E59=BG$1,$S59,BG58))</f>
        <v/>
      </c>
      <c r="BH59" s="15">
        <f>IF($D59=BH$1,$R59,IF($E59=BH$1,$S59,BH58))</f>
        <v/>
      </c>
      <c r="BI59" s="15">
        <f>IF($D59=BI$1,$R59,IF($E59=BI$1,$S59,BI58))</f>
        <v/>
      </c>
      <c r="BJ59" s="15">
        <f>IF($D59=BJ$1,$R59,IF($E59=BJ$1,$S59,BJ58))</f>
        <v/>
      </c>
      <c r="BK59" s="15">
        <f>IF($D59=BK$1,$R59,IF($E59=BK$1,$S59,BK58))</f>
        <v/>
      </c>
      <c r="BL59" s="15">
        <f>IF($D59=BL$1,$R59,IF($E59=BL$1,$S59,BL58))</f>
        <v/>
      </c>
      <c r="BM59" s="15">
        <f>IF($D59=BM$1,$R59,IF($E59=BM$1,$S59,BM58))</f>
        <v/>
      </c>
      <c r="BN59" s="15">
        <f>IF($D59=BN$1,$R59,IF($E59=BN$1,$S59,BN58))</f>
        <v/>
      </c>
      <c r="BO59" s="15">
        <f>IF($D59=BO$1,$R59,IF($E59=BO$1,$S59,BO58))</f>
        <v/>
      </c>
      <c r="BP59" s="15">
        <f>IF($D59=BP$1,$R59,IF($E59=BP$1,$S59,BP58))</f>
        <v/>
      </c>
      <c r="BQ59" s="15">
        <f>IF($D59=BQ$1,$R59,IF($E59=BQ$1,$S59,BQ58))</f>
        <v/>
      </c>
      <c r="BR59" s="15">
        <f>IF($D59=BR$1,$R59,IF($E59=BR$1,$S59,BR58))</f>
        <v/>
      </c>
      <c r="BS59" s="15">
        <f>IF($D59=BS$1,$R59,IF($E59=BS$1,$S59,BS58))</f>
        <v/>
      </c>
      <c r="BT59" s="15">
        <f>IF($D59=BT$1,$R59,IF($E59=BT$1,$S59,BT58))</f>
        <v/>
      </c>
      <c r="BU59" s="15">
        <f>IF($D59=BU$1,$R59,IF($E59=BU$1,$S59,BU58))</f>
        <v/>
      </c>
      <c r="BV59" s="15">
        <f>IF($D59=BV$1,$R59,IF($E59=BV$1,$S59,BV58))</f>
        <v/>
      </c>
      <c r="BW59" s="15">
        <f>IF($D59=BW$1,$R59,IF($E59=BW$1,$S59,BW58))</f>
        <v/>
      </c>
      <c r="BX59" s="15">
        <f>IF($D59=BX$1,$R59,IF($E59=BX$1,$S59,BX58))</f>
        <v/>
      </c>
      <c r="BY59" s="15">
        <f>IF($D59=BY$1,$R59,IF($E59=BY$1,$S59,BY58))</f>
        <v/>
      </c>
      <c r="BZ59" s="15">
        <f>IF($D59=BZ$1,$R59,IF($E59=BZ$1,$S59,BZ58))</f>
        <v/>
      </c>
    </row>
    <row r="60" ht="15" customHeight="1">
      <c r="A60" s="7">
        <f>Fixture!A59</f>
        <v/>
      </c>
      <c r="B60" s="7">
        <f>Fixture!B59</f>
        <v/>
      </c>
      <c r="C60" s="7">
        <f>Fixture!C59</f>
        <v/>
      </c>
      <c r="D60" s="7">
        <f>Fixture!E59</f>
        <v/>
      </c>
      <c r="E60" s="7">
        <f>Fixture!F59</f>
        <v/>
      </c>
      <c r="F60" s="7">
        <f>Fixture!J59</f>
        <v/>
      </c>
      <c r="G60" s="7">
        <f>Fixture!K59</f>
        <v/>
      </c>
      <c r="H60" s="7">
        <f>IF(ISNUMBER(Resultados!B59),1,0)</f>
        <v/>
      </c>
      <c r="I60" s="7">
        <f>IF($H60=1,Resultados!B59,0)</f>
        <v/>
      </c>
      <c r="J60" s="7">
        <f>IF($H60=1,Resultados!C59,0)</f>
        <v/>
      </c>
      <c r="K60" s="12">
        <f>IFERROR(INDEX($AE59:$BZ59,MATCH($D60,$AE$1:$BZ$1,0)),"")</f>
        <v/>
      </c>
      <c r="L60" s="12">
        <f>IFERROR(INDEX($AE59:$BZ59,MATCH($E60,$AE$1:$BZ$1,0)),"")</f>
        <v/>
      </c>
      <c r="M60" s="12">
        <f>IF(OR($K60="",$L60=""),"",($K60+100*$F60)-($L60+100*$G60))</f>
        <v/>
      </c>
      <c r="N60" s="13">
        <f>IF($M60="","",1/(1+10^(-$M60/400)))</f>
        <v/>
      </c>
      <c r="O60" s="7">
        <f>IF(OR($H60=0,$N60=""),"",IF($I60&gt;$J60,1,IF($I60=$J60,0.5,0)))</f>
        <v/>
      </c>
      <c r="P60" s="14">
        <f>IF($O60="","",IF(ABS($I60-$J60)&lt;=1,1,IF(ABS($I60-$J60)=2,1.5,IF(ABS($I60-$J60)=3,1.75,1.75+(ABS($I60-$J60)-3)/8))))</f>
        <v/>
      </c>
      <c r="Q60" s="14">
        <f>IF($O60="",0,Equipos!$O$4*$P60*($O60-$N60))</f>
        <v/>
      </c>
      <c r="R60" s="12">
        <f>IF($K60="","",$K60+$Q60)</f>
        <v/>
      </c>
      <c r="S60" s="12">
        <f>IF($L60="","",$L60-$Q60)</f>
        <v/>
      </c>
      <c r="T60" s="14">
        <f>IF($M60="","",Equipos!$O$3*$M60)</f>
        <v/>
      </c>
      <c r="U60" s="14">
        <f>IFERROR(VLOOKUP($D60,Equipos!$A:$H,6,0),"")</f>
        <v/>
      </c>
      <c r="V60" s="14">
        <f>IFERROR(VLOOKUP($D60,Equipos!$A:$H,7,0),"")</f>
        <v/>
      </c>
      <c r="W60" s="14">
        <f>IFERROR(VLOOKUP($E60,Equipos!$A:$H,6,0),"")</f>
        <v/>
      </c>
      <c r="X60" s="14">
        <f>IFERROR(VLOOKUP($E60,Equipos!$A:$H,7,0),"")</f>
        <v/>
      </c>
      <c r="Y60" s="14">
        <f>IF(OR($U60="",$W60=""),"",MIN(3.6,MAX(1.8,Equipos!$O$2*SQRT($U60*$W60*$V60*$X60))))</f>
        <v/>
      </c>
      <c r="Z60" s="14">
        <f>IF(OR($Y60="",$T60=""),"",MAX(0.2,($Y60+$T60)/2))</f>
        <v/>
      </c>
      <c r="AA60" s="14">
        <f>IF(OR($Y60="",$T60=""),"",MAX(0.2,($Y60-$T60)/2))</f>
        <v/>
      </c>
      <c r="AE60" s="15">
        <f>IF($D60=AE$1,$R60,IF($E60=AE$1,$S60,AE59))</f>
        <v/>
      </c>
      <c r="AF60" s="15">
        <f>IF($D60=AF$1,$R60,IF($E60=AF$1,$S60,AF59))</f>
        <v/>
      </c>
      <c r="AG60" s="15">
        <f>IF($D60=AG$1,$R60,IF($E60=AG$1,$S60,AG59))</f>
        <v/>
      </c>
      <c r="AH60" s="15">
        <f>IF($D60=AH$1,$R60,IF($E60=AH$1,$S60,AH59))</f>
        <v/>
      </c>
      <c r="AI60" s="15">
        <f>IF($D60=AI$1,$R60,IF($E60=AI$1,$S60,AI59))</f>
        <v/>
      </c>
      <c r="AJ60" s="15">
        <f>IF($D60=AJ$1,$R60,IF($E60=AJ$1,$S60,AJ59))</f>
        <v/>
      </c>
      <c r="AK60" s="15">
        <f>IF($D60=AK$1,$R60,IF($E60=AK$1,$S60,AK59))</f>
        <v/>
      </c>
      <c r="AL60" s="15">
        <f>IF($D60=AL$1,$R60,IF($E60=AL$1,$S60,AL59))</f>
        <v/>
      </c>
      <c r="AM60" s="15">
        <f>IF($D60=AM$1,$R60,IF($E60=AM$1,$S60,AM59))</f>
        <v/>
      </c>
      <c r="AN60" s="15">
        <f>IF($D60=AN$1,$R60,IF($E60=AN$1,$S60,AN59))</f>
        <v/>
      </c>
      <c r="AO60" s="15">
        <f>IF($D60=AO$1,$R60,IF($E60=AO$1,$S60,AO59))</f>
        <v/>
      </c>
      <c r="AP60" s="15">
        <f>IF($D60=AP$1,$R60,IF($E60=AP$1,$S60,AP59))</f>
        <v/>
      </c>
      <c r="AQ60" s="15">
        <f>IF($D60=AQ$1,$R60,IF($E60=AQ$1,$S60,AQ59))</f>
        <v/>
      </c>
      <c r="AR60" s="15">
        <f>IF($D60=AR$1,$R60,IF($E60=AR$1,$S60,AR59))</f>
        <v/>
      </c>
      <c r="AS60" s="15">
        <f>IF($D60=AS$1,$R60,IF($E60=AS$1,$S60,AS59))</f>
        <v/>
      </c>
      <c r="AT60" s="15">
        <f>IF($D60=AT$1,$R60,IF($E60=AT$1,$S60,AT59))</f>
        <v/>
      </c>
      <c r="AU60" s="15">
        <f>IF($D60=AU$1,$R60,IF($E60=AU$1,$S60,AU59))</f>
        <v/>
      </c>
      <c r="AV60" s="15">
        <f>IF($D60=AV$1,$R60,IF($E60=AV$1,$S60,AV59))</f>
        <v/>
      </c>
      <c r="AW60" s="15">
        <f>IF($D60=AW$1,$R60,IF($E60=AW$1,$S60,AW59))</f>
        <v/>
      </c>
      <c r="AX60" s="15">
        <f>IF($D60=AX$1,$R60,IF($E60=AX$1,$S60,AX59))</f>
        <v/>
      </c>
      <c r="AY60" s="15">
        <f>IF($D60=AY$1,$R60,IF($E60=AY$1,$S60,AY59))</f>
        <v/>
      </c>
      <c r="AZ60" s="15">
        <f>IF($D60=AZ$1,$R60,IF($E60=AZ$1,$S60,AZ59))</f>
        <v/>
      </c>
      <c r="BA60" s="15">
        <f>IF($D60=BA$1,$R60,IF($E60=BA$1,$S60,BA59))</f>
        <v/>
      </c>
      <c r="BB60" s="15">
        <f>IF($D60=BB$1,$R60,IF($E60=BB$1,$S60,BB59))</f>
        <v/>
      </c>
      <c r="BC60" s="15">
        <f>IF($D60=BC$1,$R60,IF($E60=BC$1,$S60,BC59))</f>
        <v/>
      </c>
      <c r="BD60" s="15">
        <f>IF($D60=BD$1,$R60,IF($E60=BD$1,$S60,BD59))</f>
        <v/>
      </c>
      <c r="BE60" s="15">
        <f>IF($D60=BE$1,$R60,IF($E60=BE$1,$S60,BE59))</f>
        <v/>
      </c>
      <c r="BF60" s="15">
        <f>IF($D60=BF$1,$R60,IF($E60=BF$1,$S60,BF59))</f>
        <v/>
      </c>
      <c r="BG60" s="15">
        <f>IF($D60=BG$1,$R60,IF($E60=BG$1,$S60,BG59))</f>
        <v/>
      </c>
      <c r="BH60" s="15">
        <f>IF($D60=BH$1,$R60,IF($E60=BH$1,$S60,BH59))</f>
        <v/>
      </c>
      <c r="BI60" s="15">
        <f>IF($D60=BI$1,$R60,IF($E60=BI$1,$S60,BI59))</f>
        <v/>
      </c>
      <c r="BJ60" s="15">
        <f>IF($D60=BJ$1,$R60,IF($E60=BJ$1,$S60,BJ59))</f>
        <v/>
      </c>
      <c r="BK60" s="15">
        <f>IF($D60=BK$1,$R60,IF($E60=BK$1,$S60,BK59))</f>
        <v/>
      </c>
      <c r="BL60" s="15">
        <f>IF($D60=BL$1,$R60,IF($E60=BL$1,$S60,BL59))</f>
        <v/>
      </c>
      <c r="BM60" s="15">
        <f>IF($D60=BM$1,$R60,IF($E60=BM$1,$S60,BM59))</f>
        <v/>
      </c>
      <c r="BN60" s="15">
        <f>IF($D60=BN$1,$R60,IF($E60=BN$1,$S60,BN59))</f>
        <v/>
      </c>
      <c r="BO60" s="15">
        <f>IF($D60=BO$1,$R60,IF($E60=BO$1,$S60,BO59))</f>
        <v/>
      </c>
      <c r="BP60" s="15">
        <f>IF($D60=BP$1,$R60,IF($E60=BP$1,$S60,BP59))</f>
        <v/>
      </c>
      <c r="BQ60" s="15">
        <f>IF($D60=BQ$1,$R60,IF($E60=BQ$1,$S60,BQ59))</f>
        <v/>
      </c>
      <c r="BR60" s="15">
        <f>IF($D60=BR$1,$R60,IF($E60=BR$1,$S60,BR59))</f>
        <v/>
      </c>
      <c r="BS60" s="15">
        <f>IF($D60=BS$1,$R60,IF($E60=BS$1,$S60,BS59))</f>
        <v/>
      </c>
      <c r="BT60" s="15">
        <f>IF($D60=BT$1,$R60,IF($E60=BT$1,$S60,BT59))</f>
        <v/>
      </c>
      <c r="BU60" s="15">
        <f>IF($D60=BU$1,$R60,IF($E60=BU$1,$S60,BU59))</f>
        <v/>
      </c>
      <c r="BV60" s="15">
        <f>IF($D60=BV$1,$R60,IF($E60=BV$1,$S60,BV59))</f>
        <v/>
      </c>
      <c r="BW60" s="15">
        <f>IF($D60=BW$1,$R60,IF($E60=BW$1,$S60,BW59))</f>
        <v/>
      </c>
      <c r="BX60" s="15">
        <f>IF($D60=BX$1,$R60,IF($E60=BX$1,$S60,BX59))</f>
        <v/>
      </c>
      <c r="BY60" s="15">
        <f>IF($D60=BY$1,$R60,IF($E60=BY$1,$S60,BY59))</f>
        <v/>
      </c>
      <c r="BZ60" s="15">
        <f>IF($D60=BZ$1,$R60,IF($E60=BZ$1,$S60,BZ59))</f>
        <v/>
      </c>
    </row>
    <row r="61" ht="15" customHeight="1">
      <c r="A61" s="7">
        <f>Fixture!A60</f>
        <v/>
      </c>
      <c r="B61" s="7">
        <f>Fixture!B60</f>
        <v/>
      </c>
      <c r="C61" s="7">
        <f>Fixture!C60</f>
        <v/>
      </c>
      <c r="D61" s="7">
        <f>Fixture!E60</f>
        <v/>
      </c>
      <c r="E61" s="7">
        <f>Fixture!F60</f>
        <v/>
      </c>
      <c r="F61" s="7">
        <f>Fixture!J60</f>
        <v/>
      </c>
      <c r="G61" s="7">
        <f>Fixture!K60</f>
        <v/>
      </c>
      <c r="H61" s="7">
        <f>IF(ISNUMBER(Resultados!B60),1,0)</f>
        <v/>
      </c>
      <c r="I61" s="7">
        <f>IF($H61=1,Resultados!B60,0)</f>
        <v/>
      </c>
      <c r="J61" s="7">
        <f>IF($H61=1,Resultados!C60,0)</f>
        <v/>
      </c>
      <c r="K61" s="12">
        <f>IFERROR(INDEX($AE60:$BZ60,MATCH($D61,$AE$1:$BZ$1,0)),"")</f>
        <v/>
      </c>
      <c r="L61" s="12">
        <f>IFERROR(INDEX($AE60:$BZ60,MATCH($E61,$AE$1:$BZ$1,0)),"")</f>
        <v/>
      </c>
      <c r="M61" s="12">
        <f>IF(OR($K61="",$L61=""),"",($K61+100*$F61)-($L61+100*$G61))</f>
        <v/>
      </c>
      <c r="N61" s="13">
        <f>IF($M61="","",1/(1+10^(-$M61/400)))</f>
        <v/>
      </c>
      <c r="O61" s="7">
        <f>IF(OR($H61=0,$N61=""),"",IF($I61&gt;$J61,1,IF($I61=$J61,0.5,0)))</f>
        <v/>
      </c>
      <c r="P61" s="14">
        <f>IF($O61="","",IF(ABS($I61-$J61)&lt;=1,1,IF(ABS($I61-$J61)=2,1.5,IF(ABS($I61-$J61)=3,1.75,1.75+(ABS($I61-$J61)-3)/8))))</f>
        <v/>
      </c>
      <c r="Q61" s="14">
        <f>IF($O61="",0,Equipos!$O$4*$P61*($O61-$N61))</f>
        <v/>
      </c>
      <c r="R61" s="12">
        <f>IF($K61="","",$K61+$Q61)</f>
        <v/>
      </c>
      <c r="S61" s="12">
        <f>IF($L61="","",$L61-$Q61)</f>
        <v/>
      </c>
      <c r="T61" s="14">
        <f>IF($M61="","",Equipos!$O$3*$M61)</f>
        <v/>
      </c>
      <c r="U61" s="14">
        <f>IFERROR(VLOOKUP($D61,Equipos!$A:$H,6,0),"")</f>
        <v/>
      </c>
      <c r="V61" s="14">
        <f>IFERROR(VLOOKUP($D61,Equipos!$A:$H,7,0),"")</f>
        <v/>
      </c>
      <c r="W61" s="14">
        <f>IFERROR(VLOOKUP($E61,Equipos!$A:$H,6,0),"")</f>
        <v/>
      </c>
      <c r="X61" s="14">
        <f>IFERROR(VLOOKUP($E61,Equipos!$A:$H,7,0),"")</f>
        <v/>
      </c>
      <c r="Y61" s="14">
        <f>IF(OR($U61="",$W61=""),"",MIN(3.6,MAX(1.8,Equipos!$O$2*SQRT($U61*$W61*$V61*$X61))))</f>
        <v/>
      </c>
      <c r="Z61" s="14">
        <f>IF(OR($Y61="",$T61=""),"",MAX(0.2,($Y61+$T61)/2))</f>
        <v/>
      </c>
      <c r="AA61" s="14">
        <f>IF(OR($Y61="",$T61=""),"",MAX(0.2,($Y61-$T61)/2))</f>
        <v/>
      </c>
      <c r="AE61" s="15">
        <f>IF($D61=AE$1,$R61,IF($E61=AE$1,$S61,AE60))</f>
        <v/>
      </c>
      <c r="AF61" s="15">
        <f>IF($D61=AF$1,$R61,IF($E61=AF$1,$S61,AF60))</f>
        <v/>
      </c>
      <c r="AG61" s="15">
        <f>IF($D61=AG$1,$R61,IF($E61=AG$1,$S61,AG60))</f>
        <v/>
      </c>
      <c r="AH61" s="15">
        <f>IF($D61=AH$1,$R61,IF($E61=AH$1,$S61,AH60))</f>
        <v/>
      </c>
      <c r="AI61" s="15">
        <f>IF($D61=AI$1,$R61,IF($E61=AI$1,$S61,AI60))</f>
        <v/>
      </c>
      <c r="AJ61" s="15">
        <f>IF($D61=AJ$1,$R61,IF($E61=AJ$1,$S61,AJ60))</f>
        <v/>
      </c>
      <c r="AK61" s="15">
        <f>IF($D61=AK$1,$R61,IF($E61=AK$1,$S61,AK60))</f>
        <v/>
      </c>
      <c r="AL61" s="15">
        <f>IF($D61=AL$1,$R61,IF($E61=AL$1,$S61,AL60))</f>
        <v/>
      </c>
      <c r="AM61" s="15">
        <f>IF($D61=AM$1,$R61,IF($E61=AM$1,$S61,AM60))</f>
        <v/>
      </c>
      <c r="AN61" s="15">
        <f>IF($D61=AN$1,$R61,IF($E61=AN$1,$S61,AN60))</f>
        <v/>
      </c>
      <c r="AO61" s="15">
        <f>IF($D61=AO$1,$R61,IF($E61=AO$1,$S61,AO60))</f>
        <v/>
      </c>
      <c r="AP61" s="15">
        <f>IF($D61=AP$1,$R61,IF($E61=AP$1,$S61,AP60))</f>
        <v/>
      </c>
      <c r="AQ61" s="15">
        <f>IF($D61=AQ$1,$R61,IF($E61=AQ$1,$S61,AQ60))</f>
        <v/>
      </c>
      <c r="AR61" s="15">
        <f>IF($D61=AR$1,$R61,IF($E61=AR$1,$S61,AR60))</f>
        <v/>
      </c>
      <c r="AS61" s="15">
        <f>IF($D61=AS$1,$R61,IF($E61=AS$1,$S61,AS60))</f>
        <v/>
      </c>
      <c r="AT61" s="15">
        <f>IF($D61=AT$1,$R61,IF($E61=AT$1,$S61,AT60))</f>
        <v/>
      </c>
      <c r="AU61" s="15">
        <f>IF($D61=AU$1,$R61,IF($E61=AU$1,$S61,AU60))</f>
        <v/>
      </c>
      <c r="AV61" s="15">
        <f>IF($D61=AV$1,$R61,IF($E61=AV$1,$S61,AV60))</f>
        <v/>
      </c>
      <c r="AW61" s="15">
        <f>IF($D61=AW$1,$R61,IF($E61=AW$1,$S61,AW60))</f>
        <v/>
      </c>
      <c r="AX61" s="15">
        <f>IF($D61=AX$1,$R61,IF($E61=AX$1,$S61,AX60))</f>
        <v/>
      </c>
      <c r="AY61" s="15">
        <f>IF($D61=AY$1,$R61,IF($E61=AY$1,$S61,AY60))</f>
        <v/>
      </c>
      <c r="AZ61" s="15">
        <f>IF($D61=AZ$1,$R61,IF($E61=AZ$1,$S61,AZ60))</f>
        <v/>
      </c>
      <c r="BA61" s="15">
        <f>IF($D61=BA$1,$R61,IF($E61=BA$1,$S61,BA60))</f>
        <v/>
      </c>
      <c r="BB61" s="15">
        <f>IF($D61=BB$1,$R61,IF($E61=BB$1,$S61,BB60))</f>
        <v/>
      </c>
      <c r="BC61" s="15">
        <f>IF($D61=BC$1,$R61,IF($E61=BC$1,$S61,BC60))</f>
        <v/>
      </c>
      <c r="BD61" s="15">
        <f>IF($D61=BD$1,$R61,IF($E61=BD$1,$S61,BD60))</f>
        <v/>
      </c>
      <c r="BE61" s="15">
        <f>IF($D61=BE$1,$R61,IF($E61=BE$1,$S61,BE60))</f>
        <v/>
      </c>
      <c r="BF61" s="15">
        <f>IF($D61=BF$1,$R61,IF($E61=BF$1,$S61,BF60))</f>
        <v/>
      </c>
      <c r="BG61" s="15">
        <f>IF($D61=BG$1,$R61,IF($E61=BG$1,$S61,BG60))</f>
        <v/>
      </c>
      <c r="BH61" s="15">
        <f>IF($D61=BH$1,$R61,IF($E61=BH$1,$S61,BH60))</f>
        <v/>
      </c>
      <c r="BI61" s="15">
        <f>IF($D61=BI$1,$R61,IF($E61=BI$1,$S61,BI60))</f>
        <v/>
      </c>
      <c r="BJ61" s="15">
        <f>IF($D61=BJ$1,$R61,IF($E61=BJ$1,$S61,BJ60))</f>
        <v/>
      </c>
      <c r="BK61" s="15">
        <f>IF($D61=BK$1,$R61,IF($E61=BK$1,$S61,BK60))</f>
        <v/>
      </c>
      <c r="BL61" s="15">
        <f>IF($D61=BL$1,$R61,IF($E61=BL$1,$S61,BL60))</f>
        <v/>
      </c>
      <c r="BM61" s="15">
        <f>IF($D61=BM$1,$R61,IF($E61=BM$1,$S61,BM60))</f>
        <v/>
      </c>
      <c r="BN61" s="15">
        <f>IF($D61=BN$1,$R61,IF($E61=BN$1,$S61,BN60))</f>
        <v/>
      </c>
      <c r="BO61" s="15">
        <f>IF($D61=BO$1,$R61,IF($E61=BO$1,$S61,BO60))</f>
        <v/>
      </c>
      <c r="BP61" s="15">
        <f>IF($D61=BP$1,$R61,IF($E61=BP$1,$S61,BP60))</f>
        <v/>
      </c>
      <c r="BQ61" s="15">
        <f>IF($D61=BQ$1,$R61,IF($E61=BQ$1,$S61,BQ60))</f>
        <v/>
      </c>
      <c r="BR61" s="15">
        <f>IF($D61=BR$1,$R61,IF($E61=BR$1,$S61,BR60))</f>
        <v/>
      </c>
      <c r="BS61" s="15">
        <f>IF($D61=BS$1,$R61,IF($E61=BS$1,$S61,BS60))</f>
        <v/>
      </c>
      <c r="BT61" s="15">
        <f>IF($D61=BT$1,$R61,IF($E61=BT$1,$S61,BT60))</f>
        <v/>
      </c>
      <c r="BU61" s="15">
        <f>IF($D61=BU$1,$R61,IF($E61=BU$1,$S61,BU60))</f>
        <v/>
      </c>
      <c r="BV61" s="15">
        <f>IF($D61=BV$1,$R61,IF($E61=BV$1,$S61,BV60))</f>
        <v/>
      </c>
      <c r="BW61" s="15">
        <f>IF($D61=BW$1,$R61,IF($E61=BW$1,$S61,BW60))</f>
        <v/>
      </c>
      <c r="BX61" s="15">
        <f>IF($D61=BX$1,$R61,IF($E61=BX$1,$S61,BX60))</f>
        <v/>
      </c>
      <c r="BY61" s="15">
        <f>IF($D61=BY$1,$R61,IF($E61=BY$1,$S61,BY60))</f>
        <v/>
      </c>
      <c r="BZ61" s="15">
        <f>IF($D61=BZ$1,$R61,IF($E61=BZ$1,$S61,BZ60))</f>
        <v/>
      </c>
    </row>
    <row r="62" ht="15" customHeight="1">
      <c r="A62" s="7">
        <f>Fixture!A61</f>
        <v/>
      </c>
      <c r="B62" s="7">
        <f>Fixture!B61</f>
        <v/>
      </c>
      <c r="C62" s="7">
        <f>Fixture!C61</f>
        <v/>
      </c>
      <c r="D62" s="7">
        <f>Fixture!E61</f>
        <v/>
      </c>
      <c r="E62" s="7">
        <f>Fixture!F61</f>
        <v/>
      </c>
      <c r="F62" s="7">
        <f>Fixture!J61</f>
        <v/>
      </c>
      <c r="G62" s="7">
        <f>Fixture!K61</f>
        <v/>
      </c>
      <c r="H62" s="7">
        <f>IF(ISNUMBER(Resultados!B61),1,0)</f>
        <v/>
      </c>
      <c r="I62" s="7">
        <f>IF($H62=1,Resultados!B61,0)</f>
        <v/>
      </c>
      <c r="J62" s="7">
        <f>IF($H62=1,Resultados!C61,0)</f>
        <v/>
      </c>
      <c r="K62" s="12">
        <f>IFERROR(INDEX($AE61:$BZ61,MATCH($D62,$AE$1:$BZ$1,0)),"")</f>
        <v/>
      </c>
      <c r="L62" s="12">
        <f>IFERROR(INDEX($AE61:$BZ61,MATCH($E62,$AE$1:$BZ$1,0)),"")</f>
        <v/>
      </c>
      <c r="M62" s="12">
        <f>IF(OR($K62="",$L62=""),"",($K62+100*$F62)-($L62+100*$G62))</f>
        <v/>
      </c>
      <c r="N62" s="13">
        <f>IF($M62="","",1/(1+10^(-$M62/400)))</f>
        <v/>
      </c>
      <c r="O62" s="7">
        <f>IF(OR($H62=0,$N62=""),"",IF($I62&gt;$J62,1,IF($I62=$J62,0.5,0)))</f>
        <v/>
      </c>
      <c r="P62" s="14">
        <f>IF($O62="","",IF(ABS($I62-$J62)&lt;=1,1,IF(ABS($I62-$J62)=2,1.5,IF(ABS($I62-$J62)=3,1.75,1.75+(ABS($I62-$J62)-3)/8))))</f>
        <v/>
      </c>
      <c r="Q62" s="14">
        <f>IF($O62="",0,Equipos!$O$4*$P62*($O62-$N62))</f>
        <v/>
      </c>
      <c r="R62" s="12">
        <f>IF($K62="","",$K62+$Q62)</f>
        <v/>
      </c>
      <c r="S62" s="12">
        <f>IF($L62="","",$L62-$Q62)</f>
        <v/>
      </c>
      <c r="T62" s="14">
        <f>IF($M62="","",Equipos!$O$3*$M62)</f>
        <v/>
      </c>
      <c r="U62" s="14">
        <f>IFERROR(VLOOKUP($D62,Equipos!$A:$H,6,0),"")</f>
        <v/>
      </c>
      <c r="V62" s="14">
        <f>IFERROR(VLOOKUP($D62,Equipos!$A:$H,7,0),"")</f>
        <v/>
      </c>
      <c r="W62" s="14">
        <f>IFERROR(VLOOKUP($E62,Equipos!$A:$H,6,0),"")</f>
        <v/>
      </c>
      <c r="X62" s="14">
        <f>IFERROR(VLOOKUP($E62,Equipos!$A:$H,7,0),"")</f>
        <v/>
      </c>
      <c r="Y62" s="14">
        <f>IF(OR($U62="",$W62=""),"",MIN(3.6,MAX(1.8,Equipos!$O$2*SQRT($U62*$W62*$V62*$X62))))</f>
        <v/>
      </c>
      <c r="Z62" s="14">
        <f>IF(OR($Y62="",$T62=""),"",MAX(0.2,($Y62+$T62)/2))</f>
        <v/>
      </c>
      <c r="AA62" s="14">
        <f>IF(OR($Y62="",$T62=""),"",MAX(0.2,($Y62-$T62)/2))</f>
        <v/>
      </c>
      <c r="AE62" s="15">
        <f>IF($D62=AE$1,$R62,IF($E62=AE$1,$S62,AE61))</f>
        <v/>
      </c>
      <c r="AF62" s="15">
        <f>IF($D62=AF$1,$R62,IF($E62=AF$1,$S62,AF61))</f>
        <v/>
      </c>
      <c r="AG62" s="15">
        <f>IF($D62=AG$1,$R62,IF($E62=AG$1,$S62,AG61))</f>
        <v/>
      </c>
      <c r="AH62" s="15">
        <f>IF($D62=AH$1,$R62,IF($E62=AH$1,$S62,AH61))</f>
        <v/>
      </c>
      <c r="AI62" s="15">
        <f>IF($D62=AI$1,$R62,IF($E62=AI$1,$S62,AI61))</f>
        <v/>
      </c>
      <c r="AJ62" s="15">
        <f>IF($D62=AJ$1,$R62,IF($E62=AJ$1,$S62,AJ61))</f>
        <v/>
      </c>
      <c r="AK62" s="15">
        <f>IF($D62=AK$1,$R62,IF($E62=AK$1,$S62,AK61))</f>
        <v/>
      </c>
      <c r="AL62" s="15">
        <f>IF($D62=AL$1,$R62,IF($E62=AL$1,$S62,AL61))</f>
        <v/>
      </c>
      <c r="AM62" s="15">
        <f>IF($D62=AM$1,$R62,IF($E62=AM$1,$S62,AM61))</f>
        <v/>
      </c>
      <c r="AN62" s="15">
        <f>IF($D62=AN$1,$R62,IF($E62=AN$1,$S62,AN61))</f>
        <v/>
      </c>
      <c r="AO62" s="15">
        <f>IF($D62=AO$1,$R62,IF($E62=AO$1,$S62,AO61))</f>
        <v/>
      </c>
      <c r="AP62" s="15">
        <f>IF($D62=AP$1,$R62,IF($E62=AP$1,$S62,AP61))</f>
        <v/>
      </c>
      <c r="AQ62" s="15">
        <f>IF($D62=AQ$1,$R62,IF($E62=AQ$1,$S62,AQ61))</f>
        <v/>
      </c>
      <c r="AR62" s="15">
        <f>IF($D62=AR$1,$R62,IF($E62=AR$1,$S62,AR61))</f>
        <v/>
      </c>
      <c r="AS62" s="15">
        <f>IF($D62=AS$1,$R62,IF($E62=AS$1,$S62,AS61))</f>
        <v/>
      </c>
      <c r="AT62" s="15">
        <f>IF($D62=AT$1,$R62,IF($E62=AT$1,$S62,AT61))</f>
        <v/>
      </c>
      <c r="AU62" s="15">
        <f>IF($D62=AU$1,$R62,IF($E62=AU$1,$S62,AU61))</f>
        <v/>
      </c>
      <c r="AV62" s="15">
        <f>IF($D62=AV$1,$R62,IF($E62=AV$1,$S62,AV61))</f>
        <v/>
      </c>
      <c r="AW62" s="15">
        <f>IF($D62=AW$1,$R62,IF($E62=AW$1,$S62,AW61))</f>
        <v/>
      </c>
      <c r="AX62" s="15">
        <f>IF($D62=AX$1,$R62,IF($E62=AX$1,$S62,AX61))</f>
        <v/>
      </c>
      <c r="AY62" s="15">
        <f>IF($D62=AY$1,$R62,IF($E62=AY$1,$S62,AY61))</f>
        <v/>
      </c>
      <c r="AZ62" s="15">
        <f>IF($D62=AZ$1,$R62,IF($E62=AZ$1,$S62,AZ61))</f>
        <v/>
      </c>
      <c r="BA62" s="15">
        <f>IF($D62=BA$1,$R62,IF($E62=BA$1,$S62,BA61))</f>
        <v/>
      </c>
      <c r="BB62" s="15">
        <f>IF($D62=BB$1,$R62,IF($E62=BB$1,$S62,BB61))</f>
        <v/>
      </c>
      <c r="BC62" s="15">
        <f>IF($D62=BC$1,$R62,IF($E62=BC$1,$S62,BC61))</f>
        <v/>
      </c>
      <c r="BD62" s="15">
        <f>IF($D62=BD$1,$R62,IF($E62=BD$1,$S62,BD61))</f>
        <v/>
      </c>
      <c r="BE62" s="15">
        <f>IF($D62=BE$1,$R62,IF($E62=BE$1,$S62,BE61))</f>
        <v/>
      </c>
      <c r="BF62" s="15">
        <f>IF($D62=BF$1,$R62,IF($E62=BF$1,$S62,BF61))</f>
        <v/>
      </c>
      <c r="BG62" s="15">
        <f>IF($D62=BG$1,$R62,IF($E62=BG$1,$S62,BG61))</f>
        <v/>
      </c>
      <c r="BH62" s="15">
        <f>IF($D62=BH$1,$R62,IF($E62=BH$1,$S62,BH61))</f>
        <v/>
      </c>
      <c r="BI62" s="15">
        <f>IF($D62=BI$1,$R62,IF($E62=BI$1,$S62,BI61))</f>
        <v/>
      </c>
      <c r="BJ62" s="15">
        <f>IF($D62=BJ$1,$R62,IF($E62=BJ$1,$S62,BJ61))</f>
        <v/>
      </c>
      <c r="BK62" s="15">
        <f>IF($D62=BK$1,$R62,IF($E62=BK$1,$S62,BK61))</f>
        <v/>
      </c>
      <c r="BL62" s="15">
        <f>IF($D62=BL$1,$R62,IF($E62=BL$1,$S62,BL61))</f>
        <v/>
      </c>
      <c r="BM62" s="15">
        <f>IF($D62=BM$1,$R62,IF($E62=BM$1,$S62,BM61))</f>
        <v/>
      </c>
      <c r="BN62" s="15">
        <f>IF($D62=BN$1,$R62,IF($E62=BN$1,$S62,BN61))</f>
        <v/>
      </c>
      <c r="BO62" s="15">
        <f>IF($D62=BO$1,$R62,IF($E62=BO$1,$S62,BO61))</f>
        <v/>
      </c>
      <c r="BP62" s="15">
        <f>IF($D62=BP$1,$R62,IF($E62=BP$1,$S62,BP61))</f>
        <v/>
      </c>
      <c r="BQ62" s="15">
        <f>IF($D62=BQ$1,$R62,IF($E62=BQ$1,$S62,BQ61))</f>
        <v/>
      </c>
      <c r="BR62" s="15">
        <f>IF($D62=BR$1,$R62,IF($E62=BR$1,$S62,BR61))</f>
        <v/>
      </c>
      <c r="BS62" s="15">
        <f>IF($D62=BS$1,$R62,IF($E62=BS$1,$S62,BS61))</f>
        <v/>
      </c>
      <c r="BT62" s="15">
        <f>IF($D62=BT$1,$R62,IF($E62=BT$1,$S62,BT61))</f>
        <v/>
      </c>
      <c r="BU62" s="15">
        <f>IF($D62=BU$1,$R62,IF($E62=BU$1,$S62,BU61))</f>
        <v/>
      </c>
      <c r="BV62" s="15">
        <f>IF($D62=BV$1,$R62,IF($E62=BV$1,$S62,BV61))</f>
        <v/>
      </c>
      <c r="BW62" s="15">
        <f>IF($D62=BW$1,$R62,IF($E62=BW$1,$S62,BW61))</f>
        <v/>
      </c>
      <c r="BX62" s="15">
        <f>IF($D62=BX$1,$R62,IF($E62=BX$1,$S62,BX61))</f>
        <v/>
      </c>
      <c r="BY62" s="15">
        <f>IF($D62=BY$1,$R62,IF($E62=BY$1,$S62,BY61))</f>
        <v/>
      </c>
      <c r="BZ62" s="15">
        <f>IF($D62=BZ$1,$R62,IF($E62=BZ$1,$S62,BZ61))</f>
        <v/>
      </c>
    </row>
    <row r="63" ht="15" customHeight="1">
      <c r="A63" s="7">
        <f>Fixture!A62</f>
        <v/>
      </c>
      <c r="B63" s="7">
        <f>Fixture!B62</f>
        <v/>
      </c>
      <c r="C63" s="7">
        <f>Fixture!C62</f>
        <v/>
      </c>
      <c r="D63" s="7">
        <f>Fixture!E62</f>
        <v/>
      </c>
      <c r="E63" s="7">
        <f>Fixture!F62</f>
        <v/>
      </c>
      <c r="F63" s="7">
        <f>Fixture!J62</f>
        <v/>
      </c>
      <c r="G63" s="7">
        <f>Fixture!K62</f>
        <v/>
      </c>
      <c r="H63" s="7">
        <f>IF(ISNUMBER(Resultados!B62),1,0)</f>
        <v/>
      </c>
      <c r="I63" s="7">
        <f>IF($H63=1,Resultados!B62,0)</f>
        <v/>
      </c>
      <c r="J63" s="7">
        <f>IF($H63=1,Resultados!C62,0)</f>
        <v/>
      </c>
      <c r="K63" s="12">
        <f>IFERROR(INDEX($AE62:$BZ62,MATCH($D63,$AE$1:$BZ$1,0)),"")</f>
        <v/>
      </c>
      <c r="L63" s="12">
        <f>IFERROR(INDEX($AE62:$BZ62,MATCH($E63,$AE$1:$BZ$1,0)),"")</f>
        <v/>
      </c>
      <c r="M63" s="12">
        <f>IF(OR($K63="",$L63=""),"",($K63+100*$F63)-($L63+100*$G63))</f>
        <v/>
      </c>
      <c r="N63" s="13">
        <f>IF($M63="","",1/(1+10^(-$M63/400)))</f>
        <v/>
      </c>
      <c r="O63" s="7">
        <f>IF(OR($H63=0,$N63=""),"",IF($I63&gt;$J63,1,IF($I63=$J63,0.5,0)))</f>
        <v/>
      </c>
      <c r="P63" s="14">
        <f>IF($O63="","",IF(ABS($I63-$J63)&lt;=1,1,IF(ABS($I63-$J63)=2,1.5,IF(ABS($I63-$J63)=3,1.75,1.75+(ABS($I63-$J63)-3)/8))))</f>
        <v/>
      </c>
      <c r="Q63" s="14">
        <f>IF($O63="",0,Equipos!$O$4*$P63*($O63-$N63))</f>
        <v/>
      </c>
      <c r="R63" s="12">
        <f>IF($K63="","",$K63+$Q63)</f>
        <v/>
      </c>
      <c r="S63" s="12">
        <f>IF($L63="","",$L63-$Q63)</f>
        <v/>
      </c>
      <c r="T63" s="14">
        <f>IF($M63="","",Equipos!$O$3*$M63)</f>
        <v/>
      </c>
      <c r="U63" s="14">
        <f>IFERROR(VLOOKUP($D63,Equipos!$A:$H,6,0),"")</f>
        <v/>
      </c>
      <c r="V63" s="14">
        <f>IFERROR(VLOOKUP($D63,Equipos!$A:$H,7,0),"")</f>
        <v/>
      </c>
      <c r="W63" s="14">
        <f>IFERROR(VLOOKUP($E63,Equipos!$A:$H,6,0),"")</f>
        <v/>
      </c>
      <c r="X63" s="14">
        <f>IFERROR(VLOOKUP($E63,Equipos!$A:$H,7,0),"")</f>
        <v/>
      </c>
      <c r="Y63" s="14">
        <f>IF(OR($U63="",$W63=""),"",MIN(3.6,MAX(1.8,Equipos!$O$2*SQRT($U63*$W63*$V63*$X63))))</f>
        <v/>
      </c>
      <c r="Z63" s="14">
        <f>IF(OR($Y63="",$T63=""),"",MAX(0.2,($Y63+$T63)/2))</f>
        <v/>
      </c>
      <c r="AA63" s="14">
        <f>IF(OR($Y63="",$T63=""),"",MAX(0.2,($Y63-$T63)/2))</f>
        <v/>
      </c>
      <c r="AE63" s="15">
        <f>IF($D63=AE$1,$R63,IF($E63=AE$1,$S63,AE62))</f>
        <v/>
      </c>
      <c r="AF63" s="15">
        <f>IF($D63=AF$1,$R63,IF($E63=AF$1,$S63,AF62))</f>
        <v/>
      </c>
      <c r="AG63" s="15">
        <f>IF($D63=AG$1,$R63,IF($E63=AG$1,$S63,AG62))</f>
        <v/>
      </c>
      <c r="AH63" s="15">
        <f>IF($D63=AH$1,$R63,IF($E63=AH$1,$S63,AH62))</f>
        <v/>
      </c>
      <c r="AI63" s="15">
        <f>IF($D63=AI$1,$R63,IF($E63=AI$1,$S63,AI62))</f>
        <v/>
      </c>
      <c r="AJ63" s="15">
        <f>IF($D63=AJ$1,$R63,IF($E63=AJ$1,$S63,AJ62))</f>
        <v/>
      </c>
      <c r="AK63" s="15">
        <f>IF($D63=AK$1,$R63,IF($E63=AK$1,$S63,AK62))</f>
        <v/>
      </c>
      <c r="AL63" s="15">
        <f>IF($D63=AL$1,$R63,IF($E63=AL$1,$S63,AL62))</f>
        <v/>
      </c>
      <c r="AM63" s="15">
        <f>IF($D63=AM$1,$R63,IF($E63=AM$1,$S63,AM62))</f>
        <v/>
      </c>
      <c r="AN63" s="15">
        <f>IF($D63=AN$1,$R63,IF($E63=AN$1,$S63,AN62))</f>
        <v/>
      </c>
      <c r="AO63" s="15">
        <f>IF($D63=AO$1,$R63,IF($E63=AO$1,$S63,AO62))</f>
        <v/>
      </c>
      <c r="AP63" s="15">
        <f>IF($D63=AP$1,$R63,IF($E63=AP$1,$S63,AP62))</f>
        <v/>
      </c>
      <c r="AQ63" s="15">
        <f>IF($D63=AQ$1,$R63,IF($E63=AQ$1,$S63,AQ62))</f>
        <v/>
      </c>
      <c r="AR63" s="15">
        <f>IF($D63=AR$1,$R63,IF($E63=AR$1,$S63,AR62))</f>
        <v/>
      </c>
      <c r="AS63" s="15">
        <f>IF($D63=AS$1,$R63,IF($E63=AS$1,$S63,AS62))</f>
        <v/>
      </c>
      <c r="AT63" s="15">
        <f>IF($D63=AT$1,$R63,IF($E63=AT$1,$S63,AT62))</f>
        <v/>
      </c>
      <c r="AU63" s="15">
        <f>IF($D63=AU$1,$R63,IF($E63=AU$1,$S63,AU62))</f>
        <v/>
      </c>
      <c r="AV63" s="15">
        <f>IF($D63=AV$1,$R63,IF($E63=AV$1,$S63,AV62))</f>
        <v/>
      </c>
      <c r="AW63" s="15">
        <f>IF($D63=AW$1,$R63,IF($E63=AW$1,$S63,AW62))</f>
        <v/>
      </c>
      <c r="AX63" s="15">
        <f>IF($D63=AX$1,$R63,IF($E63=AX$1,$S63,AX62))</f>
        <v/>
      </c>
      <c r="AY63" s="15">
        <f>IF($D63=AY$1,$R63,IF($E63=AY$1,$S63,AY62))</f>
        <v/>
      </c>
      <c r="AZ63" s="15">
        <f>IF($D63=AZ$1,$R63,IF($E63=AZ$1,$S63,AZ62))</f>
        <v/>
      </c>
      <c r="BA63" s="15">
        <f>IF($D63=BA$1,$R63,IF($E63=BA$1,$S63,BA62))</f>
        <v/>
      </c>
      <c r="BB63" s="15">
        <f>IF($D63=BB$1,$R63,IF($E63=BB$1,$S63,BB62))</f>
        <v/>
      </c>
      <c r="BC63" s="15">
        <f>IF($D63=BC$1,$R63,IF($E63=BC$1,$S63,BC62))</f>
        <v/>
      </c>
      <c r="BD63" s="15">
        <f>IF($D63=BD$1,$R63,IF($E63=BD$1,$S63,BD62))</f>
        <v/>
      </c>
      <c r="BE63" s="15">
        <f>IF($D63=BE$1,$R63,IF($E63=BE$1,$S63,BE62))</f>
        <v/>
      </c>
      <c r="BF63" s="15">
        <f>IF($D63=BF$1,$R63,IF($E63=BF$1,$S63,BF62))</f>
        <v/>
      </c>
      <c r="BG63" s="15">
        <f>IF($D63=BG$1,$R63,IF($E63=BG$1,$S63,BG62))</f>
        <v/>
      </c>
      <c r="BH63" s="15">
        <f>IF($D63=BH$1,$R63,IF($E63=BH$1,$S63,BH62))</f>
        <v/>
      </c>
      <c r="BI63" s="15">
        <f>IF($D63=BI$1,$R63,IF($E63=BI$1,$S63,BI62))</f>
        <v/>
      </c>
      <c r="BJ63" s="15">
        <f>IF($D63=BJ$1,$R63,IF($E63=BJ$1,$S63,BJ62))</f>
        <v/>
      </c>
      <c r="BK63" s="15">
        <f>IF($D63=BK$1,$R63,IF($E63=BK$1,$S63,BK62))</f>
        <v/>
      </c>
      <c r="BL63" s="15">
        <f>IF($D63=BL$1,$R63,IF($E63=BL$1,$S63,BL62))</f>
        <v/>
      </c>
      <c r="BM63" s="15">
        <f>IF($D63=BM$1,$R63,IF($E63=BM$1,$S63,BM62))</f>
        <v/>
      </c>
      <c r="BN63" s="15">
        <f>IF($D63=BN$1,$R63,IF($E63=BN$1,$S63,BN62))</f>
        <v/>
      </c>
      <c r="BO63" s="15">
        <f>IF($D63=BO$1,$R63,IF($E63=BO$1,$S63,BO62))</f>
        <v/>
      </c>
      <c r="BP63" s="15">
        <f>IF($D63=BP$1,$R63,IF($E63=BP$1,$S63,BP62))</f>
        <v/>
      </c>
      <c r="BQ63" s="15">
        <f>IF($D63=BQ$1,$R63,IF($E63=BQ$1,$S63,BQ62))</f>
        <v/>
      </c>
      <c r="BR63" s="15">
        <f>IF($D63=BR$1,$R63,IF($E63=BR$1,$S63,BR62))</f>
        <v/>
      </c>
      <c r="BS63" s="15">
        <f>IF($D63=BS$1,$R63,IF($E63=BS$1,$S63,BS62))</f>
        <v/>
      </c>
      <c r="BT63" s="15">
        <f>IF($D63=BT$1,$R63,IF($E63=BT$1,$S63,BT62))</f>
        <v/>
      </c>
      <c r="BU63" s="15">
        <f>IF($D63=BU$1,$R63,IF($E63=BU$1,$S63,BU62))</f>
        <v/>
      </c>
      <c r="BV63" s="15">
        <f>IF($D63=BV$1,$R63,IF($E63=BV$1,$S63,BV62))</f>
        <v/>
      </c>
      <c r="BW63" s="15">
        <f>IF($D63=BW$1,$R63,IF($E63=BW$1,$S63,BW62))</f>
        <v/>
      </c>
      <c r="BX63" s="15">
        <f>IF($D63=BX$1,$R63,IF($E63=BX$1,$S63,BX62))</f>
        <v/>
      </c>
      <c r="BY63" s="15">
        <f>IF($D63=BY$1,$R63,IF($E63=BY$1,$S63,BY62))</f>
        <v/>
      </c>
      <c r="BZ63" s="15">
        <f>IF($D63=BZ$1,$R63,IF($E63=BZ$1,$S63,BZ62))</f>
        <v/>
      </c>
    </row>
    <row r="64" ht="15" customHeight="1">
      <c r="A64" s="7">
        <f>Fixture!A63</f>
        <v/>
      </c>
      <c r="B64" s="7">
        <f>Fixture!B63</f>
        <v/>
      </c>
      <c r="C64" s="7">
        <f>Fixture!C63</f>
        <v/>
      </c>
      <c r="D64" s="7">
        <f>Fixture!E63</f>
        <v/>
      </c>
      <c r="E64" s="7">
        <f>Fixture!F63</f>
        <v/>
      </c>
      <c r="F64" s="7">
        <f>Fixture!J63</f>
        <v/>
      </c>
      <c r="G64" s="7">
        <f>Fixture!K63</f>
        <v/>
      </c>
      <c r="H64" s="7">
        <f>IF(ISNUMBER(Resultados!B63),1,0)</f>
        <v/>
      </c>
      <c r="I64" s="7">
        <f>IF($H64=1,Resultados!B63,0)</f>
        <v/>
      </c>
      <c r="J64" s="7">
        <f>IF($H64=1,Resultados!C63,0)</f>
        <v/>
      </c>
      <c r="K64" s="12">
        <f>IFERROR(INDEX($AE63:$BZ63,MATCH($D64,$AE$1:$BZ$1,0)),"")</f>
        <v/>
      </c>
      <c r="L64" s="12">
        <f>IFERROR(INDEX($AE63:$BZ63,MATCH($E64,$AE$1:$BZ$1,0)),"")</f>
        <v/>
      </c>
      <c r="M64" s="12">
        <f>IF(OR($K64="",$L64=""),"",($K64+100*$F64)-($L64+100*$G64))</f>
        <v/>
      </c>
      <c r="N64" s="13">
        <f>IF($M64="","",1/(1+10^(-$M64/400)))</f>
        <v/>
      </c>
      <c r="O64" s="7">
        <f>IF(OR($H64=0,$N64=""),"",IF($I64&gt;$J64,1,IF($I64=$J64,0.5,0)))</f>
        <v/>
      </c>
      <c r="P64" s="14">
        <f>IF($O64="","",IF(ABS($I64-$J64)&lt;=1,1,IF(ABS($I64-$J64)=2,1.5,IF(ABS($I64-$J64)=3,1.75,1.75+(ABS($I64-$J64)-3)/8))))</f>
        <v/>
      </c>
      <c r="Q64" s="14">
        <f>IF($O64="",0,Equipos!$O$4*$P64*($O64-$N64))</f>
        <v/>
      </c>
      <c r="R64" s="12">
        <f>IF($K64="","",$K64+$Q64)</f>
        <v/>
      </c>
      <c r="S64" s="12">
        <f>IF($L64="","",$L64-$Q64)</f>
        <v/>
      </c>
      <c r="T64" s="14">
        <f>IF($M64="","",Equipos!$O$3*$M64)</f>
        <v/>
      </c>
      <c r="U64" s="14">
        <f>IFERROR(VLOOKUP($D64,Equipos!$A:$H,6,0),"")</f>
        <v/>
      </c>
      <c r="V64" s="14">
        <f>IFERROR(VLOOKUP($D64,Equipos!$A:$H,7,0),"")</f>
        <v/>
      </c>
      <c r="W64" s="14">
        <f>IFERROR(VLOOKUP($E64,Equipos!$A:$H,6,0),"")</f>
        <v/>
      </c>
      <c r="X64" s="14">
        <f>IFERROR(VLOOKUP($E64,Equipos!$A:$H,7,0),"")</f>
        <v/>
      </c>
      <c r="Y64" s="14">
        <f>IF(OR($U64="",$W64=""),"",MIN(3.6,MAX(1.8,Equipos!$O$2*SQRT($U64*$W64*$V64*$X64))))</f>
        <v/>
      </c>
      <c r="Z64" s="14">
        <f>IF(OR($Y64="",$T64=""),"",MAX(0.2,($Y64+$T64)/2))</f>
        <v/>
      </c>
      <c r="AA64" s="14">
        <f>IF(OR($Y64="",$T64=""),"",MAX(0.2,($Y64-$T64)/2))</f>
        <v/>
      </c>
      <c r="AE64" s="15">
        <f>IF($D64=AE$1,$R64,IF($E64=AE$1,$S64,AE63))</f>
        <v/>
      </c>
      <c r="AF64" s="15">
        <f>IF($D64=AF$1,$R64,IF($E64=AF$1,$S64,AF63))</f>
        <v/>
      </c>
      <c r="AG64" s="15">
        <f>IF($D64=AG$1,$R64,IF($E64=AG$1,$S64,AG63))</f>
        <v/>
      </c>
      <c r="AH64" s="15">
        <f>IF($D64=AH$1,$R64,IF($E64=AH$1,$S64,AH63))</f>
        <v/>
      </c>
      <c r="AI64" s="15">
        <f>IF($D64=AI$1,$R64,IF($E64=AI$1,$S64,AI63))</f>
        <v/>
      </c>
      <c r="AJ64" s="15">
        <f>IF($D64=AJ$1,$R64,IF($E64=AJ$1,$S64,AJ63))</f>
        <v/>
      </c>
      <c r="AK64" s="15">
        <f>IF($D64=AK$1,$R64,IF($E64=AK$1,$S64,AK63))</f>
        <v/>
      </c>
      <c r="AL64" s="15">
        <f>IF($D64=AL$1,$R64,IF($E64=AL$1,$S64,AL63))</f>
        <v/>
      </c>
      <c r="AM64" s="15">
        <f>IF($D64=AM$1,$R64,IF($E64=AM$1,$S64,AM63))</f>
        <v/>
      </c>
      <c r="AN64" s="15">
        <f>IF($D64=AN$1,$R64,IF($E64=AN$1,$S64,AN63))</f>
        <v/>
      </c>
      <c r="AO64" s="15">
        <f>IF($D64=AO$1,$R64,IF($E64=AO$1,$S64,AO63))</f>
        <v/>
      </c>
      <c r="AP64" s="15">
        <f>IF($D64=AP$1,$R64,IF($E64=AP$1,$S64,AP63))</f>
        <v/>
      </c>
      <c r="AQ64" s="15">
        <f>IF($D64=AQ$1,$R64,IF($E64=AQ$1,$S64,AQ63))</f>
        <v/>
      </c>
      <c r="AR64" s="15">
        <f>IF($D64=AR$1,$R64,IF($E64=AR$1,$S64,AR63))</f>
        <v/>
      </c>
      <c r="AS64" s="15">
        <f>IF($D64=AS$1,$R64,IF($E64=AS$1,$S64,AS63))</f>
        <v/>
      </c>
      <c r="AT64" s="15">
        <f>IF($D64=AT$1,$R64,IF($E64=AT$1,$S64,AT63))</f>
        <v/>
      </c>
      <c r="AU64" s="15">
        <f>IF($D64=AU$1,$R64,IF($E64=AU$1,$S64,AU63))</f>
        <v/>
      </c>
      <c r="AV64" s="15">
        <f>IF($D64=AV$1,$R64,IF($E64=AV$1,$S64,AV63))</f>
        <v/>
      </c>
      <c r="AW64" s="15">
        <f>IF($D64=AW$1,$R64,IF($E64=AW$1,$S64,AW63))</f>
        <v/>
      </c>
      <c r="AX64" s="15">
        <f>IF($D64=AX$1,$R64,IF($E64=AX$1,$S64,AX63))</f>
        <v/>
      </c>
      <c r="AY64" s="15">
        <f>IF($D64=AY$1,$R64,IF($E64=AY$1,$S64,AY63))</f>
        <v/>
      </c>
      <c r="AZ64" s="15">
        <f>IF($D64=AZ$1,$R64,IF($E64=AZ$1,$S64,AZ63))</f>
        <v/>
      </c>
      <c r="BA64" s="15">
        <f>IF($D64=BA$1,$R64,IF($E64=BA$1,$S64,BA63))</f>
        <v/>
      </c>
      <c r="BB64" s="15">
        <f>IF($D64=BB$1,$R64,IF($E64=BB$1,$S64,BB63))</f>
        <v/>
      </c>
      <c r="BC64" s="15">
        <f>IF($D64=BC$1,$R64,IF($E64=BC$1,$S64,BC63))</f>
        <v/>
      </c>
      <c r="BD64" s="15">
        <f>IF($D64=BD$1,$R64,IF($E64=BD$1,$S64,BD63))</f>
        <v/>
      </c>
      <c r="BE64" s="15">
        <f>IF($D64=BE$1,$R64,IF($E64=BE$1,$S64,BE63))</f>
        <v/>
      </c>
      <c r="BF64" s="15">
        <f>IF($D64=BF$1,$R64,IF($E64=BF$1,$S64,BF63))</f>
        <v/>
      </c>
      <c r="BG64" s="15">
        <f>IF($D64=BG$1,$R64,IF($E64=BG$1,$S64,BG63))</f>
        <v/>
      </c>
      <c r="BH64" s="15">
        <f>IF($D64=BH$1,$R64,IF($E64=BH$1,$S64,BH63))</f>
        <v/>
      </c>
      <c r="BI64" s="15">
        <f>IF($D64=BI$1,$R64,IF($E64=BI$1,$S64,BI63))</f>
        <v/>
      </c>
      <c r="BJ64" s="15">
        <f>IF($D64=BJ$1,$R64,IF($E64=BJ$1,$S64,BJ63))</f>
        <v/>
      </c>
      <c r="BK64" s="15">
        <f>IF($D64=BK$1,$R64,IF($E64=BK$1,$S64,BK63))</f>
        <v/>
      </c>
      <c r="BL64" s="15">
        <f>IF($D64=BL$1,$R64,IF($E64=BL$1,$S64,BL63))</f>
        <v/>
      </c>
      <c r="BM64" s="15">
        <f>IF($D64=BM$1,$R64,IF($E64=BM$1,$S64,BM63))</f>
        <v/>
      </c>
      <c r="BN64" s="15">
        <f>IF($D64=BN$1,$R64,IF($E64=BN$1,$S64,BN63))</f>
        <v/>
      </c>
      <c r="BO64" s="15">
        <f>IF($D64=BO$1,$R64,IF($E64=BO$1,$S64,BO63))</f>
        <v/>
      </c>
      <c r="BP64" s="15">
        <f>IF($D64=BP$1,$R64,IF($E64=BP$1,$S64,BP63))</f>
        <v/>
      </c>
      <c r="BQ64" s="15">
        <f>IF($D64=BQ$1,$R64,IF($E64=BQ$1,$S64,BQ63))</f>
        <v/>
      </c>
      <c r="BR64" s="15">
        <f>IF($D64=BR$1,$R64,IF($E64=BR$1,$S64,BR63))</f>
        <v/>
      </c>
      <c r="BS64" s="15">
        <f>IF($D64=BS$1,$R64,IF($E64=BS$1,$S64,BS63))</f>
        <v/>
      </c>
      <c r="BT64" s="15">
        <f>IF($D64=BT$1,$R64,IF($E64=BT$1,$S64,BT63))</f>
        <v/>
      </c>
      <c r="BU64" s="15">
        <f>IF($D64=BU$1,$R64,IF($E64=BU$1,$S64,BU63))</f>
        <v/>
      </c>
      <c r="BV64" s="15">
        <f>IF($D64=BV$1,$R64,IF($E64=BV$1,$S64,BV63))</f>
        <v/>
      </c>
      <c r="BW64" s="15">
        <f>IF($D64=BW$1,$R64,IF($E64=BW$1,$S64,BW63))</f>
        <v/>
      </c>
      <c r="BX64" s="15">
        <f>IF($D64=BX$1,$R64,IF($E64=BX$1,$S64,BX63))</f>
        <v/>
      </c>
      <c r="BY64" s="15">
        <f>IF($D64=BY$1,$R64,IF($E64=BY$1,$S64,BY63))</f>
        <v/>
      </c>
      <c r="BZ64" s="15">
        <f>IF($D64=BZ$1,$R64,IF($E64=BZ$1,$S64,BZ63))</f>
        <v/>
      </c>
    </row>
    <row r="65" ht="15" customHeight="1">
      <c r="A65" s="7">
        <f>Fixture!A64</f>
        <v/>
      </c>
      <c r="B65" s="7">
        <f>Fixture!B64</f>
        <v/>
      </c>
      <c r="C65" s="7">
        <f>Fixture!C64</f>
        <v/>
      </c>
      <c r="D65" s="7">
        <f>Fixture!E64</f>
        <v/>
      </c>
      <c r="E65" s="7">
        <f>Fixture!F64</f>
        <v/>
      </c>
      <c r="F65" s="7">
        <f>Fixture!J64</f>
        <v/>
      </c>
      <c r="G65" s="7">
        <f>Fixture!K64</f>
        <v/>
      </c>
      <c r="H65" s="7">
        <f>IF(ISNUMBER(Resultados!B64),1,0)</f>
        <v/>
      </c>
      <c r="I65" s="7">
        <f>IF($H65=1,Resultados!B64,0)</f>
        <v/>
      </c>
      <c r="J65" s="7">
        <f>IF($H65=1,Resultados!C64,0)</f>
        <v/>
      </c>
      <c r="K65" s="12">
        <f>IFERROR(INDEX($AE64:$BZ64,MATCH($D65,$AE$1:$BZ$1,0)),"")</f>
        <v/>
      </c>
      <c r="L65" s="12">
        <f>IFERROR(INDEX($AE64:$BZ64,MATCH($E65,$AE$1:$BZ$1,0)),"")</f>
        <v/>
      </c>
      <c r="M65" s="12">
        <f>IF(OR($K65="",$L65=""),"",($K65+100*$F65)-($L65+100*$G65))</f>
        <v/>
      </c>
      <c r="N65" s="13">
        <f>IF($M65="","",1/(1+10^(-$M65/400)))</f>
        <v/>
      </c>
      <c r="O65" s="7">
        <f>IF(OR($H65=0,$N65=""),"",IF($I65&gt;$J65,1,IF($I65=$J65,0.5,0)))</f>
        <v/>
      </c>
      <c r="P65" s="14">
        <f>IF($O65="","",IF(ABS($I65-$J65)&lt;=1,1,IF(ABS($I65-$J65)=2,1.5,IF(ABS($I65-$J65)=3,1.75,1.75+(ABS($I65-$J65)-3)/8))))</f>
        <v/>
      </c>
      <c r="Q65" s="14">
        <f>IF($O65="",0,Equipos!$O$4*$P65*($O65-$N65))</f>
        <v/>
      </c>
      <c r="R65" s="12">
        <f>IF($K65="","",$K65+$Q65)</f>
        <v/>
      </c>
      <c r="S65" s="12">
        <f>IF($L65="","",$L65-$Q65)</f>
        <v/>
      </c>
      <c r="T65" s="14">
        <f>IF($M65="","",Equipos!$O$3*$M65)</f>
        <v/>
      </c>
      <c r="U65" s="14">
        <f>IFERROR(VLOOKUP($D65,Equipos!$A:$H,6,0),"")</f>
        <v/>
      </c>
      <c r="V65" s="14">
        <f>IFERROR(VLOOKUP($D65,Equipos!$A:$H,7,0),"")</f>
        <v/>
      </c>
      <c r="W65" s="14">
        <f>IFERROR(VLOOKUP($E65,Equipos!$A:$H,6,0),"")</f>
        <v/>
      </c>
      <c r="X65" s="14">
        <f>IFERROR(VLOOKUP($E65,Equipos!$A:$H,7,0),"")</f>
        <v/>
      </c>
      <c r="Y65" s="14">
        <f>IF(OR($U65="",$W65=""),"",MIN(3.6,MAX(1.8,Equipos!$O$2*SQRT($U65*$W65*$V65*$X65))))</f>
        <v/>
      </c>
      <c r="Z65" s="14">
        <f>IF(OR($Y65="",$T65=""),"",MAX(0.2,($Y65+$T65)/2))</f>
        <v/>
      </c>
      <c r="AA65" s="14">
        <f>IF(OR($Y65="",$T65=""),"",MAX(0.2,($Y65-$T65)/2))</f>
        <v/>
      </c>
      <c r="AE65" s="15">
        <f>IF($D65=AE$1,$R65,IF($E65=AE$1,$S65,AE64))</f>
        <v/>
      </c>
      <c r="AF65" s="15">
        <f>IF($D65=AF$1,$R65,IF($E65=AF$1,$S65,AF64))</f>
        <v/>
      </c>
      <c r="AG65" s="15">
        <f>IF($D65=AG$1,$R65,IF($E65=AG$1,$S65,AG64))</f>
        <v/>
      </c>
      <c r="AH65" s="15">
        <f>IF($D65=AH$1,$R65,IF($E65=AH$1,$S65,AH64))</f>
        <v/>
      </c>
      <c r="AI65" s="15">
        <f>IF($D65=AI$1,$R65,IF($E65=AI$1,$S65,AI64))</f>
        <v/>
      </c>
      <c r="AJ65" s="15">
        <f>IF($D65=AJ$1,$R65,IF($E65=AJ$1,$S65,AJ64))</f>
        <v/>
      </c>
      <c r="AK65" s="15">
        <f>IF($D65=AK$1,$R65,IF($E65=AK$1,$S65,AK64))</f>
        <v/>
      </c>
      <c r="AL65" s="15">
        <f>IF($D65=AL$1,$R65,IF($E65=AL$1,$S65,AL64))</f>
        <v/>
      </c>
      <c r="AM65" s="15">
        <f>IF($D65=AM$1,$R65,IF($E65=AM$1,$S65,AM64))</f>
        <v/>
      </c>
      <c r="AN65" s="15">
        <f>IF($D65=AN$1,$R65,IF($E65=AN$1,$S65,AN64))</f>
        <v/>
      </c>
      <c r="AO65" s="15">
        <f>IF($D65=AO$1,$R65,IF($E65=AO$1,$S65,AO64))</f>
        <v/>
      </c>
      <c r="AP65" s="15">
        <f>IF($D65=AP$1,$R65,IF($E65=AP$1,$S65,AP64))</f>
        <v/>
      </c>
      <c r="AQ65" s="15">
        <f>IF($D65=AQ$1,$R65,IF($E65=AQ$1,$S65,AQ64))</f>
        <v/>
      </c>
      <c r="AR65" s="15">
        <f>IF($D65=AR$1,$R65,IF($E65=AR$1,$S65,AR64))</f>
        <v/>
      </c>
      <c r="AS65" s="15">
        <f>IF($D65=AS$1,$R65,IF($E65=AS$1,$S65,AS64))</f>
        <v/>
      </c>
      <c r="AT65" s="15">
        <f>IF($D65=AT$1,$R65,IF($E65=AT$1,$S65,AT64))</f>
        <v/>
      </c>
      <c r="AU65" s="15">
        <f>IF($D65=AU$1,$R65,IF($E65=AU$1,$S65,AU64))</f>
        <v/>
      </c>
      <c r="AV65" s="15">
        <f>IF($D65=AV$1,$R65,IF($E65=AV$1,$S65,AV64))</f>
        <v/>
      </c>
      <c r="AW65" s="15">
        <f>IF($D65=AW$1,$R65,IF($E65=AW$1,$S65,AW64))</f>
        <v/>
      </c>
      <c r="AX65" s="15">
        <f>IF($D65=AX$1,$R65,IF($E65=AX$1,$S65,AX64))</f>
        <v/>
      </c>
      <c r="AY65" s="15">
        <f>IF($D65=AY$1,$R65,IF($E65=AY$1,$S65,AY64))</f>
        <v/>
      </c>
      <c r="AZ65" s="15">
        <f>IF($D65=AZ$1,$R65,IF($E65=AZ$1,$S65,AZ64))</f>
        <v/>
      </c>
      <c r="BA65" s="15">
        <f>IF($D65=BA$1,$R65,IF($E65=BA$1,$S65,BA64))</f>
        <v/>
      </c>
      <c r="BB65" s="15">
        <f>IF($D65=BB$1,$R65,IF($E65=BB$1,$S65,BB64))</f>
        <v/>
      </c>
      <c r="BC65" s="15">
        <f>IF($D65=BC$1,$R65,IF($E65=BC$1,$S65,BC64))</f>
        <v/>
      </c>
      <c r="BD65" s="15">
        <f>IF($D65=BD$1,$R65,IF($E65=BD$1,$S65,BD64))</f>
        <v/>
      </c>
      <c r="BE65" s="15">
        <f>IF($D65=BE$1,$R65,IF($E65=BE$1,$S65,BE64))</f>
        <v/>
      </c>
      <c r="BF65" s="15">
        <f>IF($D65=BF$1,$R65,IF($E65=BF$1,$S65,BF64))</f>
        <v/>
      </c>
      <c r="BG65" s="15">
        <f>IF($D65=BG$1,$R65,IF($E65=BG$1,$S65,BG64))</f>
        <v/>
      </c>
      <c r="BH65" s="15">
        <f>IF($D65=BH$1,$R65,IF($E65=BH$1,$S65,BH64))</f>
        <v/>
      </c>
      <c r="BI65" s="15">
        <f>IF($D65=BI$1,$R65,IF($E65=BI$1,$S65,BI64))</f>
        <v/>
      </c>
      <c r="BJ65" s="15">
        <f>IF($D65=BJ$1,$R65,IF($E65=BJ$1,$S65,BJ64))</f>
        <v/>
      </c>
      <c r="BK65" s="15">
        <f>IF($D65=BK$1,$R65,IF($E65=BK$1,$S65,BK64))</f>
        <v/>
      </c>
      <c r="BL65" s="15">
        <f>IF($D65=BL$1,$R65,IF($E65=BL$1,$S65,BL64))</f>
        <v/>
      </c>
      <c r="BM65" s="15">
        <f>IF($D65=BM$1,$R65,IF($E65=BM$1,$S65,BM64))</f>
        <v/>
      </c>
      <c r="BN65" s="15">
        <f>IF($D65=BN$1,$R65,IF($E65=BN$1,$S65,BN64))</f>
        <v/>
      </c>
      <c r="BO65" s="15">
        <f>IF($D65=BO$1,$R65,IF($E65=BO$1,$S65,BO64))</f>
        <v/>
      </c>
      <c r="BP65" s="15">
        <f>IF($D65=BP$1,$R65,IF($E65=BP$1,$S65,BP64))</f>
        <v/>
      </c>
      <c r="BQ65" s="15">
        <f>IF($D65=BQ$1,$R65,IF($E65=BQ$1,$S65,BQ64))</f>
        <v/>
      </c>
      <c r="BR65" s="15">
        <f>IF($D65=BR$1,$R65,IF($E65=BR$1,$S65,BR64))</f>
        <v/>
      </c>
      <c r="BS65" s="15">
        <f>IF($D65=BS$1,$R65,IF($E65=BS$1,$S65,BS64))</f>
        <v/>
      </c>
      <c r="BT65" s="15">
        <f>IF($D65=BT$1,$R65,IF($E65=BT$1,$S65,BT64))</f>
        <v/>
      </c>
      <c r="BU65" s="15">
        <f>IF($D65=BU$1,$R65,IF($E65=BU$1,$S65,BU64))</f>
        <v/>
      </c>
      <c r="BV65" s="15">
        <f>IF($D65=BV$1,$R65,IF($E65=BV$1,$S65,BV64))</f>
        <v/>
      </c>
      <c r="BW65" s="15">
        <f>IF($D65=BW$1,$R65,IF($E65=BW$1,$S65,BW64))</f>
        <v/>
      </c>
      <c r="BX65" s="15">
        <f>IF($D65=BX$1,$R65,IF($E65=BX$1,$S65,BX64))</f>
        <v/>
      </c>
      <c r="BY65" s="15">
        <f>IF($D65=BY$1,$R65,IF($E65=BY$1,$S65,BY64))</f>
        <v/>
      </c>
      <c r="BZ65" s="15">
        <f>IF($D65=BZ$1,$R65,IF($E65=BZ$1,$S65,BZ64))</f>
        <v/>
      </c>
    </row>
    <row r="66" ht="15" customHeight="1">
      <c r="A66" s="7">
        <f>Fixture!A65</f>
        <v/>
      </c>
      <c r="B66" s="7">
        <f>Fixture!B65</f>
        <v/>
      </c>
      <c r="C66" s="7">
        <f>Fixture!C65</f>
        <v/>
      </c>
      <c r="D66" s="7">
        <f>Fixture!E65</f>
        <v/>
      </c>
      <c r="E66" s="7">
        <f>Fixture!F65</f>
        <v/>
      </c>
      <c r="F66" s="7">
        <f>Fixture!J65</f>
        <v/>
      </c>
      <c r="G66" s="7">
        <f>Fixture!K65</f>
        <v/>
      </c>
      <c r="H66" s="7">
        <f>IF(ISNUMBER(Resultados!B65),1,0)</f>
        <v/>
      </c>
      <c r="I66" s="7">
        <f>IF($H66=1,Resultados!B65,0)</f>
        <v/>
      </c>
      <c r="J66" s="7">
        <f>IF($H66=1,Resultados!C65,0)</f>
        <v/>
      </c>
      <c r="K66" s="12">
        <f>IFERROR(INDEX($AE65:$BZ65,MATCH($D66,$AE$1:$BZ$1,0)),"")</f>
        <v/>
      </c>
      <c r="L66" s="12">
        <f>IFERROR(INDEX($AE65:$BZ65,MATCH($E66,$AE$1:$BZ$1,0)),"")</f>
        <v/>
      </c>
      <c r="M66" s="12">
        <f>IF(OR($K66="",$L66=""),"",($K66+100*$F66)-($L66+100*$G66))</f>
        <v/>
      </c>
      <c r="N66" s="13">
        <f>IF($M66="","",1/(1+10^(-$M66/400)))</f>
        <v/>
      </c>
      <c r="O66" s="7">
        <f>IF(OR($H66=0,$N66=""),"",IF($I66&gt;$J66,1,IF($I66=$J66,0.5,0)))</f>
        <v/>
      </c>
      <c r="P66" s="14">
        <f>IF($O66="","",IF(ABS($I66-$J66)&lt;=1,1,IF(ABS($I66-$J66)=2,1.5,IF(ABS($I66-$J66)=3,1.75,1.75+(ABS($I66-$J66)-3)/8))))</f>
        <v/>
      </c>
      <c r="Q66" s="14">
        <f>IF($O66="",0,Equipos!$O$4*$P66*($O66-$N66))</f>
        <v/>
      </c>
      <c r="R66" s="12">
        <f>IF($K66="","",$K66+$Q66)</f>
        <v/>
      </c>
      <c r="S66" s="12">
        <f>IF($L66="","",$L66-$Q66)</f>
        <v/>
      </c>
      <c r="T66" s="14">
        <f>IF($M66="","",Equipos!$O$3*$M66)</f>
        <v/>
      </c>
      <c r="U66" s="14">
        <f>IFERROR(VLOOKUP($D66,Equipos!$A:$H,6,0),"")</f>
        <v/>
      </c>
      <c r="V66" s="14">
        <f>IFERROR(VLOOKUP($D66,Equipos!$A:$H,7,0),"")</f>
        <v/>
      </c>
      <c r="W66" s="14">
        <f>IFERROR(VLOOKUP($E66,Equipos!$A:$H,6,0),"")</f>
        <v/>
      </c>
      <c r="X66" s="14">
        <f>IFERROR(VLOOKUP($E66,Equipos!$A:$H,7,0),"")</f>
        <v/>
      </c>
      <c r="Y66" s="14">
        <f>IF(OR($U66="",$W66=""),"",MIN(3.6,MAX(1.8,Equipos!$O$2*SQRT($U66*$W66*$V66*$X66))))</f>
        <v/>
      </c>
      <c r="Z66" s="14">
        <f>IF(OR($Y66="",$T66=""),"",MAX(0.2,($Y66+$T66)/2))</f>
        <v/>
      </c>
      <c r="AA66" s="14">
        <f>IF(OR($Y66="",$T66=""),"",MAX(0.2,($Y66-$T66)/2))</f>
        <v/>
      </c>
      <c r="AE66" s="15">
        <f>IF($D66=AE$1,$R66,IF($E66=AE$1,$S66,AE65))</f>
        <v/>
      </c>
      <c r="AF66" s="15">
        <f>IF($D66=AF$1,$R66,IF($E66=AF$1,$S66,AF65))</f>
        <v/>
      </c>
      <c r="AG66" s="15">
        <f>IF($D66=AG$1,$R66,IF($E66=AG$1,$S66,AG65))</f>
        <v/>
      </c>
      <c r="AH66" s="15">
        <f>IF($D66=AH$1,$R66,IF($E66=AH$1,$S66,AH65))</f>
        <v/>
      </c>
      <c r="AI66" s="15">
        <f>IF($D66=AI$1,$R66,IF($E66=AI$1,$S66,AI65))</f>
        <v/>
      </c>
      <c r="AJ66" s="15">
        <f>IF($D66=AJ$1,$R66,IF($E66=AJ$1,$S66,AJ65))</f>
        <v/>
      </c>
      <c r="AK66" s="15">
        <f>IF($D66=AK$1,$R66,IF($E66=AK$1,$S66,AK65))</f>
        <v/>
      </c>
      <c r="AL66" s="15">
        <f>IF($D66=AL$1,$R66,IF($E66=AL$1,$S66,AL65))</f>
        <v/>
      </c>
      <c r="AM66" s="15">
        <f>IF($D66=AM$1,$R66,IF($E66=AM$1,$S66,AM65))</f>
        <v/>
      </c>
      <c r="AN66" s="15">
        <f>IF($D66=AN$1,$R66,IF($E66=AN$1,$S66,AN65))</f>
        <v/>
      </c>
      <c r="AO66" s="15">
        <f>IF($D66=AO$1,$R66,IF($E66=AO$1,$S66,AO65))</f>
        <v/>
      </c>
      <c r="AP66" s="15">
        <f>IF($D66=AP$1,$R66,IF($E66=AP$1,$S66,AP65))</f>
        <v/>
      </c>
      <c r="AQ66" s="15">
        <f>IF($D66=AQ$1,$R66,IF($E66=AQ$1,$S66,AQ65))</f>
        <v/>
      </c>
      <c r="AR66" s="15">
        <f>IF($D66=AR$1,$R66,IF($E66=AR$1,$S66,AR65))</f>
        <v/>
      </c>
      <c r="AS66" s="15">
        <f>IF($D66=AS$1,$R66,IF($E66=AS$1,$S66,AS65))</f>
        <v/>
      </c>
      <c r="AT66" s="15">
        <f>IF($D66=AT$1,$R66,IF($E66=AT$1,$S66,AT65))</f>
        <v/>
      </c>
      <c r="AU66" s="15">
        <f>IF($D66=AU$1,$R66,IF($E66=AU$1,$S66,AU65))</f>
        <v/>
      </c>
      <c r="AV66" s="15">
        <f>IF($D66=AV$1,$R66,IF($E66=AV$1,$S66,AV65))</f>
        <v/>
      </c>
      <c r="AW66" s="15">
        <f>IF($D66=AW$1,$R66,IF($E66=AW$1,$S66,AW65))</f>
        <v/>
      </c>
      <c r="AX66" s="15">
        <f>IF($D66=AX$1,$R66,IF($E66=AX$1,$S66,AX65))</f>
        <v/>
      </c>
      <c r="AY66" s="15">
        <f>IF($D66=AY$1,$R66,IF($E66=AY$1,$S66,AY65))</f>
        <v/>
      </c>
      <c r="AZ66" s="15">
        <f>IF($D66=AZ$1,$R66,IF($E66=AZ$1,$S66,AZ65))</f>
        <v/>
      </c>
      <c r="BA66" s="15">
        <f>IF($D66=BA$1,$R66,IF($E66=BA$1,$S66,BA65))</f>
        <v/>
      </c>
      <c r="BB66" s="15">
        <f>IF($D66=BB$1,$R66,IF($E66=BB$1,$S66,BB65))</f>
        <v/>
      </c>
      <c r="BC66" s="15">
        <f>IF($D66=BC$1,$R66,IF($E66=BC$1,$S66,BC65))</f>
        <v/>
      </c>
      <c r="BD66" s="15">
        <f>IF($D66=BD$1,$R66,IF($E66=BD$1,$S66,BD65))</f>
        <v/>
      </c>
      <c r="BE66" s="15">
        <f>IF($D66=BE$1,$R66,IF($E66=BE$1,$S66,BE65))</f>
        <v/>
      </c>
      <c r="BF66" s="15">
        <f>IF($D66=BF$1,$R66,IF($E66=BF$1,$S66,BF65))</f>
        <v/>
      </c>
      <c r="BG66" s="15">
        <f>IF($D66=BG$1,$R66,IF($E66=BG$1,$S66,BG65))</f>
        <v/>
      </c>
      <c r="BH66" s="15">
        <f>IF($D66=BH$1,$R66,IF($E66=BH$1,$S66,BH65))</f>
        <v/>
      </c>
      <c r="BI66" s="15">
        <f>IF($D66=BI$1,$R66,IF($E66=BI$1,$S66,BI65))</f>
        <v/>
      </c>
      <c r="BJ66" s="15">
        <f>IF($D66=BJ$1,$R66,IF($E66=BJ$1,$S66,BJ65))</f>
        <v/>
      </c>
      <c r="BK66" s="15">
        <f>IF($D66=BK$1,$R66,IF($E66=BK$1,$S66,BK65))</f>
        <v/>
      </c>
      <c r="BL66" s="15">
        <f>IF($D66=BL$1,$R66,IF($E66=BL$1,$S66,BL65))</f>
        <v/>
      </c>
      <c r="BM66" s="15">
        <f>IF($D66=BM$1,$R66,IF($E66=BM$1,$S66,BM65))</f>
        <v/>
      </c>
      <c r="BN66" s="15">
        <f>IF($D66=BN$1,$R66,IF($E66=BN$1,$S66,BN65))</f>
        <v/>
      </c>
      <c r="BO66" s="15">
        <f>IF($D66=BO$1,$R66,IF($E66=BO$1,$S66,BO65))</f>
        <v/>
      </c>
      <c r="BP66" s="15">
        <f>IF($D66=BP$1,$R66,IF($E66=BP$1,$S66,BP65))</f>
        <v/>
      </c>
      <c r="BQ66" s="15">
        <f>IF($D66=BQ$1,$R66,IF($E66=BQ$1,$S66,BQ65))</f>
        <v/>
      </c>
      <c r="BR66" s="15">
        <f>IF($D66=BR$1,$R66,IF($E66=BR$1,$S66,BR65))</f>
        <v/>
      </c>
      <c r="BS66" s="15">
        <f>IF($D66=BS$1,$R66,IF($E66=BS$1,$S66,BS65))</f>
        <v/>
      </c>
      <c r="BT66" s="15">
        <f>IF($D66=BT$1,$R66,IF($E66=BT$1,$S66,BT65))</f>
        <v/>
      </c>
      <c r="BU66" s="15">
        <f>IF($D66=BU$1,$R66,IF($E66=BU$1,$S66,BU65))</f>
        <v/>
      </c>
      <c r="BV66" s="15">
        <f>IF($D66=BV$1,$R66,IF($E66=BV$1,$S66,BV65))</f>
        <v/>
      </c>
      <c r="BW66" s="15">
        <f>IF($D66=BW$1,$R66,IF($E66=BW$1,$S66,BW65))</f>
        <v/>
      </c>
      <c r="BX66" s="15">
        <f>IF($D66=BX$1,$R66,IF($E66=BX$1,$S66,BX65))</f>
        <v/>
      </c>
      <c r="BY66" s="15">
        <f>IF($D66=BY$1,$R66,IF($E66=BY$1,$S66,BY65))</f>
        <v/>
      </c>
      <c r="BZ66" s="15">
        <f>IF($D66=BZ$1,$R66,IF($E66=BZ$1,$S66,BZ65))</f>
        <v/>
      </c>
    </row>
    <row r="67" ht="15" customHeight="1">
      <c r="A67" s="7">
        <f>Fixture!A66</f>
        <v/>
      </c>
      <c r="B67" s="7">
        <f>Fixture!B66</f>
        <v/>
      </c>
      <c r="C67" s="7">
        <f>Fixture!C66</f>
        <v/>
      </c>
      <c r="D67" s="7">
        <f>Fixture!E66</f>
        <v/>
      </c>
      <c r="E67" s="7">
        <f>Fixture!F66</f>
        <v/>
      </c>
      <c r="F67" s="7">
        <f>Fixture!J66</f>
        <v/>
      </c>
      <c r="G67" s="7">
        <f>Fixture!K66</f>
        <v/>
      </c>
      <c r="H67" s="7">
        <f>IF(ISNUMBER(Resultados!B66),1,0)</f>
        <v/>
      </c>
      <c r="I67" s="7">
        <f>IF($H67=1,Resultados!B66,0)</f>
        <v/>
      </c>
      <c r="J67" s="7">
        <f>IF($H67=1,Resultados!C66,0)</f>
        <v/>
      </c>
      <c r="K67" s="12">
        <f>IFERROR(INDEX($AE66:$BZ66,MATCH($D67,$AE$1:$BZ$1,0)),"")</f>
        <v/>
      </c>
      <c r="L67" s="12">
        <f>IFERROR(INDEX($AE66:$BZ66,MATCH($E67,$AE$1:$BZ$1,0)),"")</f>
        <v/>
      </c>
      <c r="M67" s="12">
        <f>IF(OR($K67="",$L67=""),"",($K67+100*$F67)-($L67+100*$G67))</f>
        <v/>
      </c>
      <c r="N67" s="13">
        <f>IF($M67="","",1/(1+10^(-$M67/400)))</f>
        <v/>
      </c>
      <c r="O67" s="7">
        <f>IF(OR($H67=0,$N67=""),"",IF($I67&gt;$J67,1,IF($I67=$J67,0.5,0)))</f>
        <v/>
      </c>
      <c r="P67" s="14">
        <f>IF($O67="","",IF(ABS($I67-$J67)&lt;=1,1,IF(ABS($I67-$J67)=2,1.5,IF(ABS($I67-$J67)=3,1.75,1.75+(ABS($I67-$J67)-3)/8))))</f>
        <v/>
      </c>
      <c r="Q67" s="14">
        <f>IF($O67="",0,Equipos!$O$4*$P67*($O67-$N67))</f>
        <v/>
      </c>
      <c r="R67" s="12">
        <f>IF($K67="","",$K67+$Q67)</f>
        <v/>
      </c>
      <c r="S67" s="12">
        <f>IF($L67="","",$L67-$Q67)</f>
        <v/>
      </c>
      <c r="T67" s="14">
        <f>IF($M67="","",Equipos!$O$3*$M67)</f>
        <v/>
      </c>
      <c r="U67" s="14">
        <f>IFERROR(VLOOKUP($D67,Equipos!$A:$H,6,0),"")</f>
        <v/>
      </c>
      <c r="V67" s="14">
        <f>IFERROR(VLOOKUP($D67,Equipos!$A:$H,7,0),"")</f>
        <v/>
      </c>
      <c r="W67" s="14">
        <f>IFERROR(VLOOKUP($E67,Equipos!$A:$H,6,0),"")</f>
        <v/>
      </c>
      <c r="X67" s="14">
        <f>IFERROR(VLOOKUP($E67,Equipos!$A:$H,7,0),"")</f>
        <v/>
      </c>
      <c r="Y67" s="14">
        <f>IF(OR($U67="",$W67=""),"",MIN(3.6,MAX(1.8,Equipos!$O$2*SQRT($U67*$W67*$V67*$X67))))</f>
        <v/>
      </c>
      <c r="Z67" s="14">
        <f>IF(OR($Y67="",$T67=""),"",MAX(0.2,($Y67+$T67)/2))</f>
        <v/>
      </c>
      <c r="AA67" s="14">
        <f>IF(OR($Y67="",$T67=""),"",MAX(0.2,($Y67-$T67)/2))</f>
        <v/>
      </c>
      <c r="AE67" s="15">
        <f>IF($D67=AE$1,$R67,IF($E67=AE$1,$S67,AE66))</f>
        <v/>
      </c>
      <c r="AF67" s="15">
        <f>IF($D67=AF$1,$R67,IF($E67=AF$1,$S67,AF66))</f>
        <v/>
      </c>
      <c r="AG67" s="15">
        <f>IF($D67=AG$1,$R67,IF($E67=AG$1,$S67,AG66))</f>
        <v/>
      </c>
      <c r="AH67" s="15">
        <f>IF($D67=AH$1,$R67,IF($E67=AH$1,$S67,AH66))</f>
        <v/>
      </c>
      <c r="AI67" s="15">
        <f>IF($D67=AI$1,$R67,IF($E67=AI$1,$S67,AI66))</f>
        <v/>
      </c>
      <c r="AJ67" s="15">
        <f>IF($D67=AJ$1,$R67,IF($E67=AJ$1,$S67,AJ66))</f>
        <v/>
      </c>
      <c r="AK67" s="15">
        <f>IF($D67=AK$1,$R67,IF($E67=AK$1,$S67,AK66))</f>
        <v/>
      </c>
      <c r="AL67" s="15">
        <f>IF($D67=AL$1,$R67,IF($E67=AL$1,$S67,AL66))</f>
        <v/>
      </c>
      <c r="AM67" s="15">
        <f>IF($D67=AM$1,$R67,IF($E67=AM$1,$S67,AM66))</f>
        <v/>
      </c>
      <c r="AN67" s="15">
        <f>IF($D67=AN$1,$R67,IF($E67=AN$1,$S67,AN66))</f>
        <v/>
      </c>
      <c r="AO67" s="15">
        <f>IF($D67=AO$1,$R67,IF($E67=AO$1,$S67,AO66))</f>
        <v/>
      </c>
      <c r="AP67" s="15">
        <f>IF($D67=AP$1,$R67,IF($E67=AP$1,$S67,AP66))</f>
        <v/>
      </c>
      <c r="AQ67" s="15">
        <f>IF($D67=AQ$1,$R67,IF($E67=AQ$1,$S67,AQ66))</f>
        <v/>
      </c>
      <c r="AR67" s="15">
        <f>IF($D67=AR$1,$R67,IF($E67=AR$1,$S67,AR66))</f>
        <v/>
      </c>
      <c r="AS67" s="15">
        <f>IF($D67=AS$1,$R67,IF($E67=AS$1,$S67,AS66))</f>
        <v/>
      </c>
      <c r="AT67" s="15">
        <f>IF($D67=AT$1,$R67,IF($E67=AT$1,$S67,AT66))</f>
        <v/>
      </c>
      <c r="AU67" s="15">
        <f>IF($D67=AU$1,$R67,IF($E67=AU$1,$S67,AU66))</f>
        <v/>
      </c>
      <c r="AV67" s="15">
        <f>IF($D67=AV$1,$R67,IF($E67=AV$1,$S67,AV66))</f>
        <v/>
      </c>
      <c r="AW67" s="15">
        <f>IF($D67=AW$1,$R67,IF($E67=AW$1,$S67,AW66))</f>
        <v/>
      </c>
      <c r="AX67" s="15">
        <f>IF($D67=AX$1,$R67,IF($E67=AX$1,$S67,AX66))</f>
        <v/>
      </c>
      <c r="AY67" s="15">
        <f>IF($D67=AY$1,$R67,IF($E67=AY$1,$S67,AY66))</f>
        <v/>
      </c>
      <c r="AZ67" s="15">
        <f>IF($D67=AZ$1,$R67,IF($E67=AZ$1,$S67,AZ66))</f>
        <v/>
      </c>
      <c r="BA67" s="15">
        <f>IF($D67=BA$1,$R67,IF($E67=BA$1,$S67,BA66))</f>
        <v/>
      </c>
      <c r="BB67" s="15">
        <f>IF($D67=BB$1,$R67,IF($E67=BB$1,$S67,BB66))</f>
        <v/>
      </c>
      <c r="BC67" s="15">
        <f>IF($D67=BC$1,$R67,IF($E67=BC$1,$S67,BC66))</f>
        <v/>
      </c>
      <c r="BD67" s="15">
        <f>IF($D67=BD$1,$R67,IF($E67=BD$1,$S67,BD66))</f>
        <v/>
      </c>
      <c r="BE67" s="15">
        <f>IF($D67=BE$1,$R67,IF($E67=BE$1,$S67,BE66))</f>
        <v/>
      </c>
      <c r="BF67" s="15">
        <f>IF($D67=BF$1,$R67,IF($E67=BF$1,$S67,BF66))</f>
        <v/>
      </c>
      <c r="BG67" s="15">
        <f>IF($D67=BG$1,$R67,IF($E67=BG$1,$S67,BG66))</f>
        <v/>
      </c>
      <c r="BH67" s="15">
        <f>IF($D67=BH$1,$R67,IF($E67=BH$1,$S67,BH66))</f>
        <v/>
      </c>
      <c r="BI67" s="15">
        <f>IF($D67=BI$1,$R67,IF($E67=BI$1,$S67,BI66))</f>
        <v/>
      </c>
      <c r="BJ67" s="15">
        <f>IF($D67=BJ$1,$R67,IF($E67=BJ$1,$S67,BJ66))</f>
        <v/>
      </c>
      <c r="BK67" s="15">
        <f>IF($D67=BK$1,$R67,IF($E67=BK$1,$S67,BK66))</f>
        <v/>
      </c>
      <c r="BL67" s="15">
        <f>IF($D67=BL$1,$R67,IF($E67=BL$1,$S67,BL66))</f>
        <v/>
      </c>
      <c r="BM67" s="15">
        <f>IF($D67=BM$1,$R67,IF($E67=BM$1,$S67,BM66))</f>
        <v/>
      </c>
      <c r="BN67" s="15">
        <f>IF($D67=BN$1,$R67,IF($E67=BN$1,$S67,BN66))</f>
        <v/>
      </c>
      <c r="BO67" s="15">
        <f>IF($D67=BO$1,$R67,IF($E67=BO$1,$S67,BO66))</f>
        <v/>
      </c>
      <c r="BP67" s="15">
        <f>IF($D67=BP$1,$R67,IF($E67=BP$1,$S67,BP66))</f>
        <v/>
      </c>
      <c r="BQ67" s="15">
        <f>IF($D67=BQ$1,$R67,IF($E67=BQ$1,$S67,BQ66))</f>
        <v/>
      </c>
      <c r="BR67" s="15">
        <f>IF($D67=BR$1,$R67,IF($E67=BR$1,$S67,BR66))</f>
        <v/>
      </c>
      <c r="BS67" s="15">
        <f>IF($D67=BS$1,$R67,IF($E67=BS$1,$S67,BS66))</f>
        <v/>
      </c>
      <c r="BT67" s="15">
        <f>IF($D67=BT$1,$R67,IF($E67=BT$1,$S67,BT66))</f>
        <v/>
      </c>
      <c r="BU67" s="15">
        <f>IF($D67=BU$1,$R67,IF($E67=BU$1,$S67,BU66))</f>
        <v/>
      </c>
      <c r="BV67" s="15">
        <f>IF($D67=BV$1,$R67,IF($E67=BV$1,$S67,BV66))</f>
        <v/>
      </c>
      <c r="BW67" s="15">
        <f>IF($D67=BW$1,$R67,IF($E67=BW$1,$S67,BW66))</f>
        <v/>
      </c>
      <c r="BX67" s="15">
        <f>IF($D67=BX$1,$R67,IF($E67=BX$1,$S67,BX66))</f>
        <v/>
      </c>
      <c r="BY67" s="15">
        <f>IF($D67=BY$1,$R67,IF($E67=BY$1,$S67,BY66))</f>
        <v/>
      </c>
      <c r="BZ67" s="15">
        <f>IF($D67=BZ$1,$R67,IF($E67=BZ$1,$S67,BZ66))</f>
        <v/>
      </c>
    </row>
    <row r="68" ht="15" customHeight="1">
      <c r="A68" s="7">
        <f>Fixture!A67</f>
        <v/>
      </c>
      <c r="B68" s="7">
        <f>Fixture!B67</f>
        <v/>
      </c>
      <c r="C68" s="7">
        <f>Fixture!C67</f>
        <v/>
      </c>
      <c r="D68" s="7">
        <f>Fixture!E67</f>
        <v/>
      </c>
      <c r="E68" s="7">
        <f>Fixture!F67</f>
        <v/>
      </c>
      <c r="F68" s="7">
        <f>Fixture!J67</f>
        <v/>
      </c>
      <c r="G68" s="7">
        <f>Fixture!K67</f>
        <v/>
      </c>
      <c r="H68" s="7">
        <f>IF(ISNUMBER(Resultados!B67),1,0)</f>
        <v/>
      </c>
      <c r="I68" s="7">
        <f>IF($H68=1,Resultados!B67,0)</f>
        <v/>
      </c>
      <c r="J68" s="7">
        <f>IF($H68=1,Resultados!C67,0)</f>
        <v/>
      </c>
      <c r="K68" s="12">
        <f>IFERROR(INDEX($AE67:$BZ67,MATCH($D68,$AE$1:$BZ$1,0)),"")</f>
        <v/>
      </c>
      <c r="L68" s="12">
        <f>IFERROR(INDEX($AE67:$BZ67,MATCH($E68,$AE$1:$BZ$1,0)),"")</f>
        <v/>
      </c>
      <c r="M68" s="12">
        <f>IF(OR($K68="",$L68=""),"",($K68+100*$F68)-($L68+100*$G68))</f>
        <v/>
      </c>
      <c r="N68" s="13">
        <f>IF($M68="","",1/(1+10^(-$M68/400)))</f>
        <v/>
      </c>
      <c r="O68" s="7">
        <f>IF(OR($H68=0,$N68=""),"",IF($I68&gt;$J68,1,IF($I68=$J68,0.5,0)))</f>
        <v/>
      </c>
      <c r="P68" s="14">
        <f>IF($O68="","",IF(ABS($I68-$J68)&lt;=1,1,IF(ABS($I68-$J68)=2,1.5,IF(ABS($I68-$J68)=3,1.75,1.75+(ABS($I68-$J68)-3)/8))))</f>
        <v/>
      </c>
      <c r="Q68" s="14">
        <f>IF($O68="",0,Equipos!$O$4*$P68*($O68-$N68))</f>
        <v/>
      </c>
      <c r="R68" s="12">
        <f>IF($K68="","",$K68+$Q68)</f>
        <v/>
      </c>
      <c r="S68" s="12">
        <f>IF($L68="","",$L68-$Q68)</f>
        <v/>
      </c>
      <c r="T68" s="14">
        <f>IF($M68="","",Equipos!$O$3*$M68)</f>
        <v/>
      </c>
      <c r="U68" s="14">
        <f>IFERROR(VLOOKUP($D68,Equipos!$A:$H,6,0),"")</f>
        <v/>
      </c>
      <c r="V68" s="14">
        <f>IFERROR(VLOOKUP($D68,Equipos!$A:$H,7,0),"")</f>
        <v/>
      </c>
      <c r="W68" s="14">
        <f>IFERROR(VLOOKUP($E68,Equipos!$A:$H,6,0),"")</f>
        <v/>
      </c>
      <c r="X68" s="14">
        <f>IFERROR(VLOOKUP($E68,Equipos!$A:$H,7,0),"")</f>
        <v/>
      </c>
      <c r="Y68" s="14">
        <f>IF(OR($U68="",$W68=""),"",MIN(3.6,MAX(1.8,Equipos!$O$2*SQRT($U68*$W68*$V68*$X68))))</f>
        <v/>
      </c>
      <c r="Z68" s="14">
        <f>IF(OR($Y68="",$T68=""),"",MAX(0.2,($Y68+$T68)/2))</f>
        <v/>
      </c>
      <c r="AA68" s="14">
        <f>IF(OR($Y68="",$T68=""),"",MAX(0.2,($Y68-$T68)/2))</f>
        <v/>
      </c>
      <c r="AE68" s="15">
        <f>IF($D68=AE$1,$R68,IF($E68=AE$1,$S68,AE67))</f>
        <v/>
      </c>
      <c r="AF68" s="15">
        <f>IF($D68=AF$1,$R68,IF($E68=AF$1,$S68,AF67))</f>
        <v/>
      </c>
      <c r="AG68" s="15">
        <f>IF($D68=AG$1,$R68,IF($E68=AG$1,$S68,AG67))</f>
        <v/>
      </c>
      <c r="AH68" s="15">
        <f>IF($D68=AH$1,$R68,IF($E68=AH$1,$S68,AH67))</f>
        <v/>
      </c>
      <c r="AI68" s="15">
        <f>IF($D68=AI$1,$R68,IF($E68=AI$1,$S68,AI67))</f>
        <v/>
      </c>
      <c r="AJ68" s="15">
        <f>IF($D68=AJ$1,$R68,IF($E68=AJ$1,$S68,AJ67))</f>
        <v/>
      </c>
      <c r="AK68" s="15">
        <f>IF($D68=AK$1,$R68,IF($E68=AK$1,$S68,AK67))</f>
        <v/>
      </c>
      <c r="AL68" s="15">
        <f>IF($D68=AL$1,$R68,IF($E68=AL$1,$S68,AL67))</f>
        <v/>
      </c>
      <c r="AM68" s="15">
        <f>IF($D68=AM$1,$R68,IF($E68=AM$1,$S68,AM67))</f>
        <v/>
      </c>
      <c r="AN68" s="15">
        <f>IF($D68=AN$1,$R68,IF($E68=AN$1,$S68,AN67))</f>
        <v/>
      </c>
      <c r="AO68" s="15">
        <f>IF($D68=AO$1,$R68,IF($E68=AO$1,$S68,AO67))</f>
        <v/>
      </c>
      <c r="AP68" s="15">
        <f>IF($D68=AP$1,$R68,IF($E68=AP$1,$S68,AP67))</f>
        <v/>
      </c>
      <c r="AQ68" s="15">
        <f>IF($D68=AQ$1,$R68,IF($E68=AQ$1,$S68,AQ67))</f>
        <v/>
      </c>
      <c r="AR68" s="15">
        <f>IF($D68=AR$1,$R68,IF($E68=AR$1,$S68,AR67))</f>
        <v/>
      </c>
      <c r="AS68" s="15">
        <f>IF($D68=AS$1,$R68,IF($E68=AS$1,$S68,AS67))</f>
        <v/>
      </c>
      <c r="AT68" s="15">
        <f>IF($D68=AT$1,$R68,IF($E68=AT$1,$S68,AT67))</f>
        <v/>
      </c>
      <c r="AU68" s="15">
        <f>IF($D68=AU$1,$R68,IF($E68=AU$1,$S68,AU67))</f>
        <v/>
      </c>
      <c r="AV68" s="15">
        <f>IF($D68=AV$1,$R68,IF($E68=AV$1,$S68,AV67))</f>
        <v/>
      </c>
      <c r="AW68" s="15">
        <f>IF($D68=AW$1,$R68,IF($E68=AW$1,$S68,AW67))</f>
        <v/>
      </c>
      <c r="AX68" s="15">
        <f>IF($D68=AX$1,$R68,IF($E68=AX$1,$S68,AX67))</f>
        <v/>
      </c>
      <c r="AY68" s="15">
        <f>IF($D68=AY$1,$R68,IF($E68=AY$1,$S68,AY67))</f>
        <v/>
      </c>
      <c r="AZ68" s="15">
        <f>IF($D68=AZ$1,$R68,IF($E68=AZ$1,$S68,AZ67))</f>
        <v/>
      </c>
      <c r="BA68" s="15">
        <f>IF($D68=BA$1,$R68,IF($E68=BA$1,$S68,BA67))</f>
        <v/>
      </c>
      <c r="BB68" s="15">
        <f>IF($D68=BB$1,$R68,IF($E68=BB$1,$S68,BB67))</f>
        <v/>
      </c>
      <c r="BC68" s="15">
        <f>IF($D68=BC$1,$R68,IF($E68=BC$1,$S68,BC67))</f>
        <v/>
      </c>
      <c r="BD68" s="15">
        <f>IF($D68=BD$1,$R68,IF($E68=BD$1,$S68,BD67))</f>
        <v/>
      </c>
      <c r="BE68" s="15">
        <f>IF($D68=BE$1,$R68,IF($E68=BE$1,$S68,BE67))</f>
        <v/>
      </c>
      <c r="BF68" s="15">
        <f>IF($D68=BF$1,$R68,IF($E68=BF$1,$S68,BF67))</f>
        <v/>
      </c>
      <c r="BG68" s="15">
        <f>IF($D68=BG$1,$R68,IF($E68=BG$1,$S68,BG67))</f>
        <v/>
      </c>
      <c r="BH68" s="15">
        <f>IF($D68=BH$1,$R68,IF($E68=BH$1,$S68,BH67))</f>
        <v/>
      </c>
      <c r="BI68" s="15">
        <f>IF($D68=BI$1,$R68,IF($E68=BI$1,$S68,BI67))</f>
        <v/>
      </c>
      <c r="BJ68" s="15">
        <f>IF($D68=BJ$1,$R68,IF($E68=BJ$1,$S68,BJ67))</f>
        <v/>
      </c>
      <c r="BK68" s="15">
        <f>IF($D68=BK$1,$R68,IF($E68=BK$1,$S68,BK67))</f>
        <v/>
      </c>
      <c r="BL68" s="15">
        <f>IF($D68=BL$1,$R68,IF($E68=BL$1,$S68,BL67))</f>
        <v/>
      </c>
      <c r="BM68" s="15">
        <f>IF($D68=BM$1,$R68,IF($E68=BM$1,$S68,BM67))</f>
        <v/>
      </c>
      <c r="BN68" s="15">
        <f>IF($D68=BN$1,$R68,IF($E68=BN$1,$S68,BN67))</f>
        <v/>
      </c>
      <c r="BO68" s="15">
        <f>IF($D68=BO$1,$R68,IF($E68=BO$1,$S68,BO67))</f>
        <v/>
      </c>
      <c r="BP68" s="15">
        <f>IF($D68=BP$1,$R68,IF($E68=BP$1,$S68,BP67))</f>
        <v/>
      </c>
      <c r="BQ68" s="15">
        <f>IF($D68=BQ$1,$R68,IF($E68=BQ$1,$S68,BQ67))</f>
        <v/>
      </c>
      <c r="BR68" s="15">
        <f>IF($D68=BR$1,$R68,IF($E68=BR$1,$S68,BR67))</f>
        <v/>
      </c>
      <c r="BS68" s="15">
        <f>IF($D68=BS$1,$R68,IF($E68=BS$1,$S68,BS67))</f>
        <v/>
      </c>
      <c r="BT68" s="15">
        <f>IF($D68=BT$1,$R68,IF($E68=BT$1,$S68,BT67))</f>
        <v/>
      </c>
      <c r="BU68" s="15">
        <f>IF($D68=BU$1,$R68,IF($E68=BU$1,$S68,BU67))</f>
        <v/>
      </c>
      <c r="BV68" s="15">
        <f>IF($D68=BV$1,$R68,IF($E68=BV$1,$S68,BV67))</f>
        <v/>
      </c>
      <c r="BW68" s="15">
        <f>IF($D68=BW$1,$R68,IF($E68=BW$1,$S68,BW67))</f>
        <v/>
      </c>
      <c r="BX68" s="15">
        <f>IF($D68=BX$1,$R68,IF($E68=BX$1,$S68,BX67))</f>
        <v/>
      </c>
      <c r="BY68" s="15">
        <f>IF($D68=BY$1,$R68,IF($E68=BY$1,$S68,BY67))</f>
        <v/>
      </c>
      <c r="BZ68" s="15">
        <f>IF($D68=BZ$1,$R68,IF($E68=BZ$1,$S68,BZ67))</f>
        <v/>
      </c>
    </row>
    <row r="69" ht="15" customHeight="1">
      <c r="A69" s="7">
        <f>Fixture!A68</f>
        <v/>
      </c>
      <c r="B69" s="7">
        <f>Fixture!B68</f>
        <v/>
      </c>
      <c r="C69" s="7">
        <f>Fixture!C68</f>
        <v/>
      </c>
      <c r="D69" s="7">
        <f>Fixture!E68</f>
        <v/>
      </c>
      <c r="E69" s="7">
        <f>Fixture!F68</f>
        <v/>
      </c>
      <c r="F69" s="7">
        <f>Fixture!J68</f>
        <v/>
      </c>
      <c r="G69" s="7">
        <f>Fixture!K68</f>
        <v/>
      </c>
      <c r="H69" s="7">
        <f>IF(ISNUMBER(Resultados!B68),1,0)</f>
        <v/>
      </c>
      <c r="I69" s="7">
        <f>IF($H69=1,Resultados!B68,0)</f>
        <v/>
      </c>
      <c r="J69" s="7">
        <f>IF($H69=1,Resultados!C68,0)</f>
        <v/>
      </c>
      <c r="K69" s="12">
        <f>IFERROR(INDEX($AE68:$BZ68,MATCH($D69,$AE$1:$BZ$1,0)),"")</f>
        <v/>
      </c>
      <c r="L69" s="12">
        <f>IFERROR(INDEX($AE68:$BZ68,MATCH($E69,$AE$1:$BZ$1,0)),"")</f>
        <v/>
      </c>
      <c r="M69" s="12">
        <f>IF(OR($K69="",$L69=""),"",($K69+100*$F69)-($L69+100*$G69))</f>
        <v/>
      </c>
      <c r="N69" s="13">
        <f>IF($M69="","",1/(1+10^(-$M69/400)))</f>
        <v/>
      </c>
      <c r="O69" s="7">
        <f>IF(OR($H69=0,$N69=""),"",IF($I69&gt;$J69,1,IF($I69=$J69,0.5,0)))</f>
        <v/>
      </c>
      <c r="P69" s="14">
        <f>IF($O69="","",IF(ABS($I69-$J69)&lt;=1,1,IF(ABS($I69-$J69)=2,1.5,IF(ABS($I69-$J69)=3,1.75,1.75+(ABS($I69-$J69)-3)/8))))</f>
        <v/>
      </c>
      <c r="Q69" s="14">
        <f>IF($O69="",0,Equipos!$O$4*$P69*($O69-$N69))</f>
        <v/>
      </c>
      <c r="R69" s="12">
        <f>IF($K69="","",$K69+$Q69)</f>
        <v/>
      </c>
      <c r="S69" s="12">
        <f>IF($L69="","",$L69-$Q69)</f>
        <v/>
      </c>
      <c r="T69" s="14">
        <f>IF($M69="","",Equipos!$O$3*$M69)</f>
        <v/>
      </c>
      <c r="U69" s="14">
        <f>IFERROR(VLOOKUP($D69,Equipos!$A:$H,6,0),"")</f>
        <v/>
      </c>
      <c r="V69" s="14">
        <f>IFERROR(VLOOKUP($D69,Equipos!$A:$H,7,0),"")</f>
        <v/>
      </c>
      <c r="W69" s="14">
        <f>IFERROR(VLOOKUP($E69,Equipos!$A:$H,6,0),"")</f>
        <v/>
      </c>
      <c r="X69" s="14">
        <f>IFERROR(VLOOKUP($E69,Equipos!$A:$H,7,0),"")</f>
        <v/>
      </c>
      <c r="Y69" s="14">
        <f>IF(OR($U69="",$W69=""),"",MIN(3.6,MAX(1.8,Equipos!$O$2*SQRT($U69*$W69*$V69*$X69))))</f>
        <v/>
      </c>
      <c r="Z69" s="14">
        <f>IF(OR($Y69="",$T69=""),"",MAX(0.2,($Y69+$T69)/2))</f>
        <v/>
      </c>
      <c r="AA69" s="14">
        <f>IF(OR($Y69="",$T69=""),"",MAX(0.2,($Y69-$T69)/2))</f>
        <v/>
      </c>
      <c r="AE69" s="15">
        <f>IF($D69=AE$1,$R69,IF($E69=AE$1,$S69,AE68))</f>
        <v/>
      </c>
      <c r="AF69" s="15">
        <f>IF($D69=AF$1,$R69,IF($E69=AF$1,$S69,AF68))</f>
        <v/>
      </c>
      <c r="AG69" s="15">
        <f>IF($D69=AG$1,$R69,IF($E69=AG$1,$S69,AG68))</f>
        <v/>
      </c>
      <c r="AH69" s="15">
        <f>IF($D69=AH$1,$R69,IF($E69=AH$1,$S69,AH68))</f>
        <v/>
      </c>
      <c r="AI69" s="15">
        <f>IF($D69=AI$1,$R69,IF($E69=AI$1,$S69,AI68))</f>
        <v/>
      </c>
      <c r="AJ69" s="15">
        <f>IF($D69=AJ$1,$R69,IF($E69=AJ$1,$S69,AJ68))</f>
        <v/>
      </c>
      <c r="AK69" s="15">
        <f>IF($D69=AK$1,$R69,IF($E69=AK$1,$S69,AK68))</f>
        <v/>
      </c>
      <c r="AL69" s="15">
        <f>IF($D69=AL$1,$R69,IF($E69=AL$1,$S69,AL68))</f>
        <v/>
      </c>
      <c r="AM69" s="15">
        <f>IF($D69=AM$1,$R69,IF($E69=AM$1,$S69,AM68))</f>
        <v/>
      </c>
      <c r="AN69" s="15">
        <f>IF($D69=AN$1,$R69,IF($E69=AN$1,$S69,AN68))</f>
        <v/>
      </c>
      <c r="AO69" s="15">
        <f>IF($D69=AO$1,$R69,IF($E69=AO$1,$S69,AO68))</f>
        <v/>
      </c>
      <c r="AP69" s="15">
        <f>IF($D69=AP$1,$R69,IF($E69=AP$1,$S69,AP68))</f>
        <v/>
      </c>
      <c r="AQ69" s="15">
        <f>IF($D69=AQ$1,$R69,IF($E69=AQ$1,$S69,AQ68))</f>
        <v/>
      </c>
      <c r="AR69" s="15">
        <f>IF($D69=AR$1,$R69,IF($E69=AR$1,$S69,AR68))</f>
        <v/>
      </c>
      <c r="AS69" s="15">
        <f>IF($D69=AS$1,$R69,IF($E69=AS$1,$S69,AS68))</f>
        <v/>
      </c>
      <c r="AT69" s="15">
        <f>IF($D69=AT$1,$R69,IF($E69=AT$1,$S69,AT68))</f>
        <v/>
      </c>
      <c r="AU69" s="15">
        <f>IF($D69=AU$1,$R69,IF($E69=AU$1,$S69,AU68))</f>
        <v/>
      </c>
      <c r="AV69" s="15">
        <f>IF($D69=AV$1,$R69,IF($E69=AV$1,$S69,AV68))</f>
        <v/>
      </c>
      <c r="AW69" s="15">
        <f>IF($D69=AW$1,$R69,IF($E69=AW$1,$S69,AW68))</f>
        <v/>
      </c>
      <c r="AX69" s="15">
        <f>IF($D69=AX$1,$R69,IF($E69=AX$1,$S69,AX68))</f>
        <v/>
      </c>
      <c r="AY69" s="15">
        <f>IF($D69=AY$1,$R69,IF($E69=AY$1,$S69,AY68))</f>
        <v/>
      </c>
      <c r="AZ69" s="15">
        <f>IF($D69=AZ$1,$R69,IF($E69=AZ$1,$S69,AZ68))</f>
        <v/>
      </c>
      <c r="BA69" s="15">
        <f>IF($D69=BA$1,$R69,IF($E69=BA$1,$S69,BA68))</f>
        <v/>
      </c>
      <c r="BB69" s="15">
        <f>IF($D69=BB$1,$R69,IF($E69=BB$1,$S69,BB68))</f>
        <v/>
      </c>
      <c r="BC69" s="15">
        <f>IF($D69=BC$1,$R69,IF($E69=BC$1,$S69,BC68))</f>
        <v/>
      </c>
      <c r="BD69" s="15">
        <f>IF($D69=BD$1,$R69,IF($E69=BD$1,$S69,BD68))</f>
        <v/>
      </c>
      <c r="BE69" s="15">
        <f>IF($D69=BE$1,$R69,IF($E69=BE$1,$S69,BE68))</f>
        <v/>
      </c>
      <c r="BF69" s="15">
        <f>IF($D69=BF$1,$R69,IF($E69=BF$1,$S69,BF68))</f>
        <v/>
      </c>
      <c r="BG69" s="15">
        <f>IF($D69=BG$1,$R69,IF($E69=BG$1,$S69,BG68))</f>
        <v/>
      </c>
      <c r="BH69" s="15">
        <f>IF($D69=BH$1,$R69,IF($E69=BH$1,$S69,BH68))</f>
        <v/>
      </c>
      <c r="BI69" s="15">
        <f>IF($D69=BI$1,$R69,IF($E69=BI$1,$S69,BI68))</f>
        <v/>
      </c>
      <c r="BJ69" s="15">
        <f>IF($D69=BJ$1,$R69,IF($E69=BJ$1,$S69,BJ68))</f>
        <v/>
      </c>
      <c r="BK69" s="15">
        <f>IF($D69=BK$1,$R69,IF($E69=BK$1,$S69,BK68))</f>
        <v/>
      </c>
      <c r="BL69" s="15">
        <f>IF($D69=BL$1,$R69,IF($E69=BL$1,$S69,BL68))</f>
        <v/>
      </c>
      <c r="BM69" s="15">
        <f>IF($D69=BM$1,$R69,IF($E69=BM$1,$S69,BM68))</f>
        <v/>
      </c>
      <c r="BN69" s="15">
        <f>IF($D69=BN$1,$R69,IF($E69=BN$1,$S69,BN68))</f>
        <v/>
      </c>
      <c r="BO69" s="15">
        <f>IF($D69=BO$1,$R69,IF($E69=BO$1,$S69,BO68))</f>
        <v/>
      </c>
      <c r="BP69" s="15">
        <f>IF($D69=BP$1,$R69,IF($E69=BP$1,$S69,BP68))</f>
        <v/>
      </c>
      <c r="BQ69" s="15">
        <f>IF($D69=BQ$1,$R69,IF($E69=BQ$1,$S69,BQ68))</f>
        <v/>
      </c>
      <c r="BR69" s="15">
        <f>IF($D69=BR$1,$R69,IF($E69=BR$1,$S69,BR68))</f>
        <v/>
      </c>
      <c r="BS69" s="15">
        <f>IF($D69=BS$1,$R69,IF($E69=BS$1,$S69,BS68))</f>
        <v/>
      </c>
      <c r="BT69" s="15">
        <f>IF($D69=BT$1,$R69,IF($E69=BT$1,$S69,BT68))</f>
        <v/>
      </c>
      <c r="BU69" s="15">
        <f>IF($D69=BU$1,$R69,IF($E69=BU$1,$S69,BU68))</f>
        <v/>
      </c>
      <c r="BV69" s="15">
        <f>IF($D69=BV$1,$R69,IF($E69=BV$1,$S69,BV68))</f>
        <v/>
      </c>
      <c r="BW69" s="15">
        <f>IF($D69=BW$1,$R69,IF($E69=BW$1,$S69,BW68))</f>
        <v/>
      </c>
      <c r="BX69" s="15">
        <f>IF($D69=BX$1,$R69,IF($E69=BX$1,$S69,BX68))</f>
        <v/>
      </c>
      <c r="BY69" s="15">
        <f>IF($D69=BY$1,$R69,IF($E69=BY$1,$S69,BY68))</f>
        <v/>
      </c>
      <c r="BZ69" s="15">
        <f>IF($D69=BZ$1,$R69,IF($E69=BZ$1,$S69,BZ68))</f>
        <v/>
      </c>
    </row>
    <row r="70" ht="15" customHeight="1">
      <c r="A70" s="7">
        <f>Fixture!A69</f>
        <v/>
      </c>
      <c r="B70" s="7">
        <f>Fixture!B69</f>
        <v/>
      </c>
      <c r="C70" s="7">
        <f>Fixture!C69</f>
        <v/>
      </c>
      <c r="D70" s="7">
        <f>Fixture!E69</f>
        <v/>
      </c>
      <c r="E70" s="7">
        <f>Fixture!F69</f>
        <v/>
      </c>
      <c r="F70" s="7">
        <f>Fixture!J69</f>
        <v/>
      </c>
      <c r="G70" s="7">
        <f>Fixture!K69</f>
        <v/>
      </c>
      <c r="H70" s="7">
        <f>IF(ISNUMBER(Resultados!B69),1,0)</f>
        <v/>
      </c>
      <c r="I70" s="7">
        <f>IF($H70=1,Resultados!B69,0)</f>
        <v/>
      </c>
      <c r="J70" s="7">
        <f>IF($H70=1,Resultados!C69,0)</f>
        <v/>
      </c>
      <c r="K70" s="12">
        <f>IFERROR(INDEX($AE69:$BZ69,MATCH($D70,$AE$1:$BZ$1,0)),"")</f>
        <v/>
      </c>
      <c r="L70" s="12">
        <f>IFERROR(INDEX($AE69:$BZ69,MATCH($E70,$AE$1:$BZ$1,0)),"")</f>
        <v/>
      </c>
      <c r="M70" s="12">
        <f>IF(OR($K70="",$L70=""),"",($K70+100*$F70)-($L70+100*$G70))</f>
        <v/>
      </c>
      <c r="N70" s="13">
        <f>IF($M70="","",1/(1+10^(-$M70/400)))</f>
        <v/>
      </c>
      <c r="O70" s="7">
        <f>IF(OR($H70=0,$N70=""),"",IF($I70&gt;$J70,1,IF($I70=$J70,0.5,0)))</f>
        <v/>
      </c>
      <c r="P70" s="14">
        <f>IF($O70="","",IF(ABS($I70-$J70)&lt;=1,1,IF(ABS($I70-$J70)=2,1.5,IF(ABS($I70-$J70)=3,1.75,1.75+(ABS($I70-$J70)-3)/8))))</f>
        <v/>
      </c>
      <c r="Q70" s="14">
        <f>IF($O70="",0,Equipos!$O$4*$P70*($O70-$N70))</f>
        <v/>
      </c>
      <c r="R70" s="12">
        <f>IF($K70="","",$K70+$Q70)</f>
        <v/>
      </c>
      <c r="S70" s="12">
        <f>IF($L70="","",$L70-$Q70)</f>
        <v/>
      </c>
      <c r="T70" s="14">
        <f>IF($M70="","",Equipos!$O$3*$M70)</f>
        <v/>
      </c>
      <c r="U70" s="14">
        <f>IFERROR(VLOOKUP($D70,Equipos!$A:$H,6,0),"")</f>
        <v/>
      </c>
      <c r="V70" s="14">
        <f>IFERROR(VLOOKUP($D70,Equipos!$A:$H,7,0),"")</f>
        <v/>
      </c>
      <c r="W70" s="14">
        <f>IFERROR(VLOOKUP($E70,Equipos!$A:$H,6,0),"")</f>
        <v/>
      </c>
      <c r="X70" s="14">
        <f>IFERROR(VLOOKUP($E70,Equipos!$A:$H,7,0),"")</f>
        <v/>
      </c>
      <c r="Y70" s="14">
        <f>IF(OR($U70="",$W70=""),"",MIN(3.6,MAX(1.8,Equipos!$O$2*SQRT($U70*$W70*$V70*$X70))))</f>
        <v/>
      </c>
      <c r="Z70" s="14">
        <f>IF(OR($Y70="",$T70=""),"",MAX(0.2,($Y70+$T70)/2))</f>
        <v/>
      </c>
      <c r="AA70" s="14">
        <f>IF(OR($Y70="",$T70=""),"",MAX(0.2,($Y70-$T70)/2))</f>
        <v/>
      </c>
      <c r="AE70" s="15">
        <f>IF($D70=AE$1,$R70,IF($E70=AE$1,$S70,AE69))</f>
        <v/>
      </c>
      <c r="AF70" s="15">
        <f>IF($D70=AF$1,$R70,IF($E70=AF$1,$S70,AF69))</f>
        <v/>
      </c>
      <c r="AG70" s="15">
        <f>IF($D70=AG$1,$R70,IF($E70=AG$1,$S70,AG69))</f>
        <v/>
      </c>
      <c r="AH70" s="15">
        <f>IF($D70=AH$1,$R70,IF($E70=AH$1,$S70,AH69))</f>
        <v/>
      </c>
      <c r="AI70" s="15">
        <f>IF($D70=AI$1,$R70,IF($E70=AI$1,$S70,AI69))</f>
        <v/>
      </c>
      <c r="AJ70" s="15">
        <f>IF($D70=AJ$1,$R70,IF($E70=AJ$1,$S70,AJ69))</f>
        <v/>
      </c>
      <c r="AK70" s="15">
        <f>IF($D70=AK$1,$R70,IF($E70=AK$1,$S70,AK69))</f>
        <v/>
      </c>
      <c r="AL70" s="15">
        <f>IF($D70=AL$1,$R70,IF($E70=AL$1,$S70,AL69))</f>
        <v/>
      </c>
      <c r="AM70" s="15">
        <f>IF($D70=AM$1,$R70,IF($E70=AM$1,$S70,AM69))</f>
        <v/>
      </c>
      <c r="AN70" s="15">
        <f>IF($D70=AN$1,$R70,IF($E70=AN$1,$S70,AN69))</f>
        <v/>
      </c>
      <c r="AO70" s="15">
        <f>IF($D70=AO$1,$R70,IF($E70=AO$1,$S70,AO69))</f>
        <v/>
      </c>
      <c r="AP70" s="15">
        <f>IF($D70=AP$1,$R70,IF($E70=AP$1,$S70,AP69))</f>
        <v/>
      </c>
      <c r="AQ70" s="15">
        <f>IF($D70=AQ$1,$R70,IF($E70=AQ$1,$S70,AQ69))</f>
        <v/>
      </c>
      <c r="AR70" s="15">
        <f>IF($D70=AR$1,$R70,IF($E70=AR$1,$S70,AR69))</f>
        <v/>
      </c>
      <c r="AS70" s="15">
        <f>IF($D70=AS$1,$R70,IF($E70=AS$1,$S70,AS69))</f>
        <v/>
      </c>
      <c r="AT70" s="15">
        <f>IF($D70=AT$1,$R70,IF($E70=AT$1,$S70,AT69))</f>
        <v/>
      </c>
      <c r="AU70" s="15">
        <f>IF($D70=AU$1,$R70,IF($E70=AU$1,$S70,AU69))</f>
        <v/>
      </c>
      <c r="AV70" s="15">
        <f>IF($D70=AV$1,$R70,IF($E70=AV$1,$S70,AV69))</f>
        <v/>
      </c>
      <c r="AW70" s="15">
        <f>IF($D70=AW$1,$R70,IF($E70=AW$1,$S70,AW69))</f>
        <v/>
      </c>
      <c r="AX70" s="15">
        <f>IF($D70=AX$1,$R70,IF($E70=AX$1,$S70,AX69))</f>
        <v/>
      </c>
      <c r="AY70" s="15">
        <f>IF($D70=AY$1,$R70,IF($E70=AY$1,$S70,AY69))</f>
        <v/>
      </c>
      <c r="AZ70" s="15">
        <f>IF($D70=AZ$1,$R70,IF($E70=AZ$1,$S70,AZ69))</f>
        <v/>
      </c>
      <c r="BA70" s="15">
        <f>IF($D70=BA$1,$R70,IF($E70=BA$1,$S70,BA69))</f>
        <v/>
      </c>
      <c r="BB70" s="15">
        <f>IF($D70=BB$1,$R70,IF($E70=BB$1,$S70,BB69))</f>
        <v/>
      </c>
      <c r="BC70" s="15">
        <f>IF($D70=BC$1,$R70,IF($E70=BC$1,$S70,BC69))</f>
        <v/>
      </c>
      <c r="BD70" s="15">
        <f>IF($D70=BD$1,$R70,IF($E70=BD$1,$S70,BD69))</f>
        <v/>
      </c>
      <c r="BE70" s="15">
        <f>IF($D70=BE$1,$R70,IF($E70=BE$1,$S70,BE69))</f>
        <v/>
      </c>
      <c r="BF70" s="15">
        <f>IF($D70=BF$1,$R70,IF($E70=BF$1,$S70,BF69))</f>
        <v/>
      </c>
      <c r="BG70" s="15">
        <f>IF($D70=BG$1,$R70,IF($E70=BG$1,$S70,BG69))</f>
        <v/>
      </c>
      <c r="BH70" s="15">
        <f>IF($D70=BH$1,$R70,IF($E70=BH$1,$S70,BH69))</f>
        <v/>
      </c>
      <c r="BI70" s="15">
        <f>IF($D70=BI$1,$R70,IF($E70=BI$1,$S70,BI69))</f>
        <v/>
      </c>
      <c r="BJ70" s="15">
        <f>IF($D70=BJ$1,$R70,IF($E70=BJ$1,$S70,BJ69))</f>
        <v/>
      </c>
      <c r="BK70" s="15">
        <f>IF($D70=BK$1,$R70,IF($E70=BK$1,$S70,BK69))</f>
        <v/>
      </c>
      <c r="BL70" s="15">
        <f>IF($D70=BL$1,$R70,IF($E70=BL$1,$S70,BL69))</f>
        <v/>
      </c>
      <c r="BM70" s="15">
        <f>IF($D70=BM$1,$R70,IF($E70=BM$1,$S70,BM69))</f>
        <v/>
      </c>
      <c r="BN70" s="15">
        <f>IF($D70=BN$1,$R70,IF($E70=BN$1,$S70,BN69))</f>
        <v/>
      </c>
      <c r="BO70" s="15">
        <f>IF($D70=BO$1,$R70,IF($E70=BO$1,$S70,BO69))</f>
        <v/>
      </c>
      <c r="BP70" s="15">
        <f>IF($D70=BP$1,$R70,IF($E70=BP$1,$S70,BP69))</f>
        <v/>
      </c>
      <c r="BQ70" s="15">
        <f>IF($D70=BQ$1,$R70,IF($E70=BQ$1,$S70,BQ69))</f>
        <v/>
      </c>
      <c r="BR70" s="15">
        <f>IF($D70=BR$1,$R70,IF($E70=BR$1,$S70,BR69))</f>
        <v/>
      </c>
      <c r="BS70" s="15">
        <f>IF($D70=BS$1,$R70,IF($E70=BS$1,$S70,BS69))</f>
        <v/>
      </c>
      <c r="BT70" s="15">
        <f>IF($D70=BT$1,$R70,IF($E70=BT$1,$S70,BT69))</f>
        <v/>
      </c>
      <c r="BU70" s="15">
        <f>IF($D70=BU$1,$R70,IF($E70=BU$1,$S70,BU69))</f>
        <v/>
      </c>
      <c r="BV70" s="15">
        <f>IF($D70=BV$1,$R70,IF($E70=BV$1,$S70,BV69))</f>
        <v/>
      </c>
      <c r="BW70" s="15">
        <f>IF($D70=BW$1,$R70,IF($E70=BW$1,$S70,BW69))</f>
        <v/>
      </c>
      <c r="BX70" s="15">
        <f>IF($D70=BX$1,$R70,IF($E70=BX$1,$S70,BX69))</f>
        <v/>
      </c>
      <c r="BY70" s="15">
        <f>IF($D70=BY$1,$R70,IF($E70=BY$1,$S70,BY69))</f>
        <v/>
      </c>
      <c r="BZ70" s="15">
        <f>IF($D70=BZ$1,$R70,IF($E70=BZ$1,$S70,BZ69))</f>
        <v/>
      </c>
    </row>
    <row r="71" ht="15" customHeight="1">
      <c r="A71" s="7">
        <f>Fixture!A70</f>
        <v/>
      </c>
      <c r="B71" s="7">
        <f>Fixture!B70</f>
        <v/>
      </c>
      <c r="C71" s="7">
        <f>Fixture!C70</f>
        <v/>
      </c>
      <c r="D71" s="7">
        <f>Fixture!E70</f>
        <v/>
      </c>
      <c r="E71" s="7">
        <f>Fixture!F70</f>
        <v/>
      </c>
      <c r="F71" s="7">
        <f>Fixture!J70</f>
        <v/>
      </c>
      <c r="G71" s="7">
        <f>Fixture!K70</f>
        <v/>
      </c>
      <c r="H71" s="7">
        <f>IF(ISNUMBER(Resultados!B70),1,0)</f>
        <v/>
      </c>
      <c r="I71" s="7">
        <f>IF($H71=1,Resultados!B70,0)</f>
        <v/>
      </c>
      <c r="J71" s="7">
        <f>IF($H71=1,Resultados!C70,0)</f>
        <v/>
      </c>
      <c r="K71" s="12">
        <f>IFERROR(INDEX($AE70:$BZ70,MATCH($D71,$AE$1:$BZ$1,0)),"")</f>
        <v/>
      </c>
      <c r="L71" s="12">
        <f>IFERROR(INDEX($AE70:$BZ70,MATCH($E71,$AE$1:$BZ$1,0)),"")</f>
        <v/>
      </c>
      <c r="M71" s="12">
        <f>IF(OR($K71="",$L71=""),"",($K71+100*$F71)-($L71+100*$G71))</f>
        <v/>
      </c>
      <c r="N71" s="13">
        <f>IF($M71="","",1/(1+10^(-$M71/400)))</f>
        <v/>
      </c>
      <c r="O71" s="7">
        <f>IF(OR($H71=0,$N71=""),"",IF($I71&gt;$J71,1,IF($I71=$J71,0.5,0)))</f>
        <v/>
      </c>
      <c r="P71" s="14">
        <f>IF($O71="","",IF(ABS($I71-$J71)&lt;=1,1,IF(ABS($I71-$J71)=2,1.5,IF(ABS($I71-$J71)=3,1.75,1.75+(ABS($I71-$J71)-3)/8))))</f>
        <v/>
      </c>
      <c r="Q71" s="14">
        <f>IF($O71="",0,Equipos!$O$4*$P71*($O71-$N71))</f>
        <v/>
      </c>
      <c r="R71" s="12">
        <f>IF($K71="","",$K71+$Q71)</f>
        <v/>
      </c>
      <c r="S71" s="12">
        <f>IF($L71="","",$L71-$Q71)</f>
        <v/>
      </c>
      <c r="T71" s="14">
        <f>IF($M71="","",Equipos!$O$3*$M71)</f>
        <v/>
      </c>
      <c r="U71" s="14">
        <f>IFERROR(VLOOKUP($D71,Equipos!$A:$H,6,0),"")</f>
        <v/>
      </c>
      <c r="V71" s="14">
        <f>IFERROR(VLOOKUP($D71,Equipos!$A:$H,7,0),"")</f>
        <v/>
      </c>
      <c r="W71" s="14">
        <f>IFERROR(VLOOKUP($E71,Equipos!$A:$H,6,0),"")</f>
        <v/>
      </c>
      <c r="X71" s="14">
        <f>IFERROR(VLOOKUP($E71,Equipos!$A:$H,7,0),"")</f>
        <v/>
      </c>
      <c r="Y71" s="14">
        <f>IF(OR($U71="",$W71=""),"",MIN(3.6,MAX(1.8,Equipos!$O$2*SQRT($U71*$W71*$V71*$X71))))</f>
        <v/>
      </c>
      <c r="Z71" s="14">
        <f>IF(OR($Y71="",$T71=""),"",MAX(0.2,($Y71+$T71)/2))</f>
        <v/>
      </c>
      <c r="AA71" s="14">
        <f>IF(OR($Y71="",$T71=""),"",MAX(0.2,($Y71-$T71)/2))</f>
        <v/>
      </c>
      <c r="AE71" s="15">
        <f>IF($D71=AE$1,$R71,IF($E71=AE$1,$S71,AE70))</f>
        <v/>
      </c>
      <c r="AF71" s="15">
        <f>IF($D71=AF$1,$R71,IF($E71=AF$1,$S71,AF70))</f>
        <v/>
      </c>
      <c r="AG71" s="15">
        <f>IF($D71=AG$1,$R71,IF($E71=AG$1,$S71,AG70))</f>
        <v/>
      </c>
      <c r="AH71" s="15">
        <f>IF($D71=AH$1,$R71,IF($E71=AH$1,$S71,AH70))</f>
        <v/>
      </c>
      <c r="AI71" s="15">
        <f>IF($D71=AI$1,$R71,IF($E71=AI$1,$S71,AI70))</f>
        <v/>
      </c>
      <c r="AJ71" s="15">
        <f>IF($D71=AJ$1,$R71,IF($E71=AJ$1,$S71,AJ70))</f>
        <v/>
      </c>
      <c r="AK71" s="15">
        <f>IF($D71=AK$1,$R71,IF($E71=AK$1,$S71,AK70))</f>
        <v/>
      </c>
      <c r="AL71" s="15">
        <f>IF($D71=AL$1,$R71,IF($E71=AL$1,$S71,AL70))</f>
        <v/>
      </c>
      <c r="AM71" s="15">
        <f>IF($D71=AM$1,$R71,IF($E71=AM$1,$S71,AM70))</f>
        <v/>
      </c>
      <c r="AN71" s="15">
        <f>IF($D71=AN$1,$R71,IF($E71=AN$1,$S71,AN70))</f>
        <v/>
      </c>
      <c r="AO71" s="15">
        <f>IF($D71=AO$1,$R71,IF($E71=AO$1,$S71,AO70))</f>
        <v/>
      </c>
      <c r="AP71" s="15">
        <f>IF($D71=AP$1,$R71,IF($E71=AP$1,$S71,AP70))</f>
        <v/>
      </c>
      <c r="AQ71" s="15">
        <f>IF($D71=AQ$1,$R71,IF($E71=AQ$1,$S71,AQ70))</f>
        <v/>
      </c>
      <c r="AR71" s="15">
        <f>IF($D71=AR$1,$R71,IF($E71=AR$1,$S71,AR70))</f>
        <v/>
      </c>
      <c r="AS71" s="15">
        <f>IF($D71=AS$1,$R71,IF($E71=AS$1,$S71,AS70))</f>
        <v/>
      </c>
      <c r="AT71" s="15">
        <f>IF($D71=AT$1,$R71,IF($E71=AT$1,$S71,AT70))</f>
        <v/>
      </c>
      <c r="AU71" s="15">
        <f>IF($D71=AU$1,$R71,IF($E71=AU$1,$S71,AU70))</f>
        <v/>
      </c>
      <c r="AV71" s="15">
        <f>IF($D71=AV$1,$R71,IF($E71=AV$1,$S71,AV70))</f>
        <v/>
      </c>
      <c r="AW71" s="15">
        <f>IF($D71=AW$1,$R71,IF($E71=AW$1,$S71,AW70))</f>
        <v/>
      </c>
      <c r="AX71" s="15">
        <f>IF($D71=AX$1,$R71,IF($E71=AX$1,$S71,AX70))</f>
        <v/>
      </c>
      <c r="AY71" s="15">
        <f>IF($D71=AY$1,$R71,IF($E71=AY$1,$S71,AY70))</f>
        <v/>
      </c>
      <c r="AZ71" s="15">
        <f>IF($D71=AZ$1,$R71,IF($E71=AZ$1,$S71,AZ70))</f>
        <v/>
      </c>
      <c r="BA71" s="15">
        <f>IF($D71=BA$1,$R71,IF($E71=BA$1,$S71,BA70))</f>
        <v/>
      </c>
      <c r="BB71" s="15">
        <f>IF($D71=BB$1,$R71,IF($E71=BB$1,$S71,BB70))</f>
        <v/>
      </c>
      <c r="BC71" s="15">
        <f>IF($D71=BC$1,$R71,IF($E71=BC$1,$S71,BC70))</f>
        <v/>
      </c>
      <c r="BD71" s="15">
        <f>IF($D71=BD$1,$R71,IF($E71=BD$1,$S71,BD70))</f>
        <v/>
      </c>
      <c r="BE71" s="15">
        <f>IF($D71=BE$1,$R71,IF($E71=BE$1,$S71,BE70))</f>
        <v/>
      </c>
      <c r="BF71" s="15">
        <f>IF($D71=BF$1,$R71,IF($E71=BF$1,$S71,BF70))</f>
        <v/>
      </c>
      <c r="BG71" s="15">
        <f>IF($D71=BG$1,$R71,IF($E71=BG$1,$S71,BG70))</f>
        <v/>
      </c>
      <c r="BH71" s="15">
        <f>IF($D71=BH$1,$R71,IF($E71=BH$1,$S71,BH70))</f>
        <v/>
      </c>
      <c r="BI71" s="15">
        <f>IF($D71=BI$1,$R71,IF($E71=BI$1,$S71,BI70))</f>
        <v/>
      </c>
      <c r="BJ71" s="15">
        <f>IF($D71=BJ$1,$R71,IF($E71=BJ$1,$S71,BJ70))</f>
        <v/>
      </c>
      <c r="BK71" s="15">
        <f>IF($D71=BK$1,$R71,IF($E71=BK$1,$S71,BK70))</f>
        <v/>
      </c>
      <c r="BL71" s="15">
        <f>IF($D71=BL$1,$R71,IF($E71=BL$1,$S71,BL70))</f>
        <v/>
      </c>
      <c r="BM71" s="15">
        <f>IF($D71=BM$1,$R71,IF($E71=BM$1,$S71,BM70))</f>
        <v/>
      </c>
      <c r="BN71" s="15">
        <f>IF($D71=BN$1,$R71,IF($E71=BN$1,$S71,BN70))</f>
        <v/>
      </c>
      <c r="BO71" s="15">
        <f>IF($D71=BO$1,$R71,IF($E71=BO$1,$S71,BO70))</f>
        <v/>
      </c>
      <c r="BP71" s="15">
        <f>IF($D71=BP$1,$R71,IF($E71=BP$1,$S71,BP70))</f>
        <v/>
      </c>
      <c r="BQ71" s="15">
        <f>IF($D71=BQ$1,$R71,IF($E71=BQ$1,$S71,BQ70))</f>
        <v/>
      </c>
      <c r="BR71" s="15">
        <f>IF($D71=BR$1,$R71,IF($E71=BR$1,$S71,BR70))</f>
        <v/>
      </c>
      <c r="BS71" s="15">
        <f>IF($D71=BS$1,$R71,IF($E71=BS$1,$S71,BS70))</f>
        <v/>
      </c>
      <c r="BT71" s="15">
        <f>IF($D71=BT$1,$R71,IF($E71=BT$1,$S71,BT70))</f>
        <v/>
      </c>
      <c r="BU71" s="15">
        <f>IF($D71=BU$1,$R71,IF($E71=BU$1,$S71,BU70))</f>
        <v/>
      </c>
      <c r="BV71" s="15">
        <f>IF($D71=BV$1,$R71,IF($E71=BV$1,$S71,BV70))</f>
        <v/>
      </c>
      <c r="BW71" s="15">
        <f>IF($D71=BW$1,$R71,IF($E71=BW$1,$S71,BW70))</f>
        <v/>
      </c>
      <c r="BX71" s="15">
        <f>IF($D71=BX$1,$R71,IF($E71=BX$1,$S71,BX70))</f>
        <v/>
      </c>
      <c r="BY71" s="15">
        <f>IF($D71=BY$1,$R71,IF($E71=BY$1,$S71,BY70))</f>
        <v/>
      </c>
      <c r="BZ71" s="15">
        <f>IF($D71=BZ$1,$R71,IF($E71=BZ$1,$S71,BZ70))</f>
        <v/>
      </c>
    </row>
    <row r="72" ht="15" customHeight="1">
      <c r="A72" s="7">
        <f>Fixture!A71</f>
        <v/>
      </c>
      <c r="B72" s="7">
        <f>Fixture!B71</f>
        <v/>
      </c>
      <c r="C72" s="7">
        <f>Fixture!C71</f>
        <v/>
      </c>
      <c r="D72" s="7">
        <f>Fixture!E71</f>
        <v/>
      </c>
      <c r="E72" s="7">
        <f>Fixture!F71</f>
        <v/>
      </c>
      <c r="F72" s="7">
        <f>Fixture!J71</f>
        <v/>
      </c>
      <c r="G72" s="7">
        <f>Fixture!K71</f>
        <v/>
      </c>
      <c r="H72" s="7">
        <f>IF(ISNUMBER(Resultados!B71),1,0)</f>
        <v/>
      </c>
      <c r="I72" s="7">
        <f>IF($H72=1,Resultados!B71,0)</f>
        <v/>
      </c>
      <c r="J72" s="7">
        <f>IF($H72=1,Resultados!C71,0)</f>
        <v/>
      </c>
      <c r="K72" s="12">
        <f>IFERROR(INDEX($AE71:$BZ71,MATCH($D72,$AE$1:$BZ$1,0)),"")</f>
        <v/>
      </c>
      <c r="L72" s="12">
        <f>IFERROR(INDEX($AE71:$BZ71,MATCH($E72,$AE$1:$BZ$1,0)),"")</f>
        <v/>
      </c>
      <c r="M72" s="12">
        <f>IF(OR($K72="",$L72=""),"",($K72+100*$F72)-($L72+100*$G72))</f>
        <v/>
      </c>
      <c r="N72" s="13">
        <f>IF($M72="","",1/(1+10^(-$M72/400)))</f>
        <v/>
      </c>
      <c r="O72" s="7">
        <f>IF(OR($H72=0,$N72=""),"",IF($I72&gt;$J72,1,IF($I72=$J72,0.5,0)))</f>
        <v/>
      </c>
      <c r="P72" s="14">
        <f>IF($O72="","",IF(ABS($I72-$J72)&lt;=1,1,IF(ABS($I72-$J72)=2,1.5,IF(ABS($I72-$J72)=3,1.75,1.75+(ABS($I72-$J72)-3)/8))))</f>
        <v/>
      </c>
      <c r="Q72" s="14">
        <f>IF($O72="",0,Equipos!$O$4*$P72*($O72-$N72))</f>
        <v/>
      </c>
      <c r="R72" s="12">
        <f>IF($K72="","",$K72+$Q72)</f>
        <v/>
      </c>
      <c r="S72" s="12">
        <f>IF($L72="","",$L72-$Q72)</f>
        <v/>
      </c>
      <c r="T72" s="14">
        <f>IF($M72="","",Equipos!$O$3*$M72)</f>
        <v/>
      </c>
      <c r="U72" s="14">
        <f>IFERROR(VLOOKUP($D72,Equipos!$A:$H,6,0),"")</f>
        <v/>
      </c>
      <c r="V72" s="14">
        <f>IFERROR(VLOOKUP($D72,Equipos!$A:$H,7,0),"")</f>
        <v/>
      </c>
      <c r="W72" s="14">
        <f>IFERROR(VLOOKUP($E72,Equipos!$A:$H,6,0),"")</f>
        <v/>
      </c>
      <c r="X72" s="14">
        <f>IFERROR(VLOOKUP($E72,Equipos!$A:$H,7,0),"")</f>
        <v/>
      </c>
      <c r="Y72" s="14">
        <f>IF(OR($U72="",$W72=""),"",MIN(3.6,MAX(1.8,Equipos!$O$2*SQRT($U72*$W72*$V72*$X72))))</f>
        <v/>
      </c>
      <c r="Z72" s="14">
        <f>IF(OR($Y72="",$T72=""),"",MAX(0.2,($Y72+$T72)/2))</f>
        <v/>
      </c>
      <c r="AA72" s="14">
        <f>IF(OR($Y72="",$T72=""),"",MAX(0.2,($Y72-$T72)/2))</f>
        <v/>
      </c>
      <c r="AE72" s="15">
        <f>IF($D72=AE$1,$R72,IF($E72=AE$1,$S72,AE71))</f>
        <v/>
      </c>
      <c r="AF72" s="15">
        <f>IF($D72=AF$1,$R72,IF($E72=AF$1,$S72,AF71))</f>
        <v/>
      </c>
      <c r="AG72" s="15">
        <f>IF($D72=AG$1,$R72,IF($E72=AG$1,$S72,AG71))</f>
        <v/>
      </c>
      <c r="AH72" s="15">
        <f>IF($D72=AH$1,$R72,IF($E72=AH$1,$S72,AH71))</f>
        <v/>
      </c>
      <c r="AI72" s="15">
        <f>IF($D72=AI$1,$R72,IF($E72=AI$1,$S72,AI71))</f>
        <v/>
      </c>
      <c r="AJ72" s="15">
        <f>IF($D72=AJ$1,$R72,IF($E72=AJ$1,$S72,AJ71))</f>
        <v/>
      </c>
      <c r="AK72" s="15">
        <f>IF($D72=AK$1,$R72,IF($E72=AK$1,$S72,AK71))</f>
        <v/>
      </c>
      <c r="AL72" s="15">
        <f>IF($D72=AL$1,$R72,IF($E72=AL$1,$S72,AL71))</f>
        <v/>
      </c>
      <c r="AM72" s="15">
        <f>IF($D72=AM$1,$R72,IF($E72=AM$1,$S72,AM71))</f>
        <v/>
      </c>
      <c r="AN72" s="15">
        <f>IF($D72=AN$1,$R72,IF($E72=AN$1,$S72,AN71))</f>
        <v/>
      </c>
      <c r="AO72" s="15">
        <f>IF($D72=AO$1,$R72,IF($E72=AO$1,$S72,AO71))</f>
        <v/>
      </c>
      <c r="AP72" s="15">
        <f>IF($D72=AP$1,$R72,IF($E72=AP$1,$S72,AP71))</f>
        <v/>
      </c>
      <c r="AQ72" s="15">
        <f>IF($D72=AQ$1,$R72,IF($E72=AQ$1,$S72,AQ71))</f>
        <v/>
      </c>
      <c r="AR72" s="15">
        <f>IF($D72=AR$1,$R72,IF($E72=AR$1,$S72,AR71))</f>
        <v/>
      </c>
      <c r="AS72" s="15">
        <f>IF($D72=AS$1,$R72,IF($E72=AS$1,$S72,AS71))</f>
        <v/>
      </c>
      <c r="AT72" s="15">
        <f>IF($D72=AT$1,$R72,IF($E72=AT$1,$S72,AT71))</f>
        <v/>
      </c>
      <c r="AU72" s="15">
        <f>IF($D72=AU$1,$R72,IF($E72=AU$1,$S72,AU71))</f>
        <v/>
      </c>
      <c r="AV72" s="15">
        <f>IF($D72=AV$1,$R72,IF($E72=AV$1,$S72,AV71))</f>
        <v/>
      </c>
      <c r="AW72" s="15">
        <f>IF($D72=AW$1,$R72,IF($E72=AW$1,$S72,AW71))</f>
        <v/>
      </c>
      <c r="AX72" s="15">
        <f>IF($D72=AX$1,$R72,IF($E72=AX$1,$S72,AX71))</f>
        <v/>
      </c>
      <c r="AY72" s="15">
        <f>IF($D72=AY$1,$R72,IF($E72=AY$1,$S72,AY71))</f>
        <v/>
      </c>
      <c r="AZ72" s="15">
        <f>IF($D72=AZ$1,$R72,IF($E72=AZ$1,$S72,AZ71))</f>
        <v/>
      </c>
      <c r="BA72" s="15">
        <f>IF($D72=BA$1,$R72,IF($E72=BA$1,$S72,BA71))</f>
        <v/>
      </c>
      <c r="BB72" s="15">
        <f>IF($D72=BB$1,$R72,IF($E72=BB$1,$S72,BB71))</f>
        <v/>
      </c>
      <c r="BC72" s="15">
        <f>IF($D72=BC$1,$R72,IF($E72=BC$1,$S72,BC71))</f>
        <v/>
      </c>
      <c r="BD72" s="15">
        <f>IF($D72=BD$1,$R72,IF($E72=BD$1,$S72,BD71))</f>
        <v/>
      </c>
      <c r="BE72" s="15">
        <f>IF($D72=BE$1,$R72,IF($E72=BE$1,$S72,BE71))</f>
        <v/>
      </c>
      <c r="BF72" s="15">
        <f>IF($D72=BF$1,$R72,IF($E72=BF$1,$S72,BF71))</f>
        <v/>
      </c>
      <c r="BG72" s="15">
        <f>IF($D72=BG$1,$R72,IF($E72=BG$1,$S72,BG71))</f>
        <v/>
      </c>
      <c r="BH72" s="15">
        <f>IF($D72=BH$1,$R72,IF($E72=BH$1,$S72,BH71))</f>
        <v/>
      </c>
      <c r="BI72" s="15">
        <f>IF($D72=BI$1,$R72,IF($E72=BI$1,$S72,BI71))</f>
        <v/>
      </c>
      <c r="BJ72" s="15">
        <f>IF($D72=BJ$1,$R72,IF($E72=BJ$1,$S72,BJ71))</f>
        <v/>
      </c>
      <c r="BK72" s="15">
        <f>IF($D72=BK$1,$R72,IF($E72=BK$1,$S72,BK71))</f>
        <v/>
      </c>
      <c r="BL72" s="15">
        <f>IF($D72=BL$1,$R72,IF($E72=BL$1,$S72,BL71))</f>
        <v/>
      </c>
      <c r="BM72" s="15">
        <f>IF($D72=BM$1,$R72,IF($E72=BM$1,$S72,BM71))</f>
        <v/>
      </c>
      <c r="BN72" s="15">
        <f>IF($D72=BN$1,$R72,IF($E72=BN$1,$S72,BN71))</f>
        <v/>
      </c>
      <c r="BO72" s="15">
        <f>IF($D72=BO$1,$R72,IF($E72=BO$1,$S72,BO71))</f>
        <v/>
      </c>
      <c r="BP72" s="15">
        <f>IF($D72=BP$1,$R72,IF($E72=BP$1,$S72,BP71))</f>
        <v/>
      </c>
      <c r="BQ72" s="15">
        <f>IF($D72=BQ$1,$R72,IF($E72=BQ$1,$S72,BQ71))</f>
        <v/>
      </c>
      <c r="BR72" s="15">
        <f>IF($D72=BR$1,$R72,IF($E72=BR$1,$S72,BR71))</f>
        <v/>
      </c>
      <c r="BS72" s="15">
        <f>IF($D72=BS$1,$R72,IF($E72=BS$1,$S72,BS71))</f>
        <v/>
      </c>
      <c r="BT72" s="15">
        <f>IF($D72=BT$1,$R72,IF($E72=BT$1,$S72,BT71))</f>
        <v/>
      </c>
      <c r="BU72" s="15">
        <f>IF($D72=BU$1,$R72,IF($E72=BU$1,$S72,BU71))</f>
        <v/>
      </c>
      <c r="BV72" s="15">
        <f>IF($D72=BV$1,$R72,IF($E72=BV$1,$S72,BV71))</f>
        <v/>
      </c>
      <c r="BW72" s="15">
        <f>IF($D72=BW$1,$R72,IF($E72=BW$1,$S72,BW71))</f>
        <v/>
      </c>
      <c r="BX72" s="15">
        <f>IF($D72=BX$1,$R72,IF($E72=BX$1,$S72,BX71))</f>
        <v/>
      </c>
      <c r="BY72" s="15">
        <f>IF($D72=BY$1,$R72,IF($E72=BY$1,$S72,BY71))</f>
        <v/>
      </c>
      <c r="BZ72" s="15">
        <f>IF($D72=BZ$1,$R72,IF($E72=BZ$1,$S72,BZ71))</f>
        <v/>
      </c>
    </row>
    <row r="73" ht="15" customHeight="1">
      <c r="A73" s="7">
        <f>Fixture!A72</f>
        <v/>
      </c>
      <c r="B73" s="7">
        <f>Fixture!B72</f>
        <v/>
      </c>
      <c r="C73" s="7">
        <f>Fixture!C72</f>
        <v/>
      </c>
      <c r="D73" s="7">
        <f>Fixture!E72</f>
        <v/>
      </c>
      <c r="E73" s="7">
        <f>Fixture!F72</f>
        <v/>
      </c>
      <c r="F73" s="7">
        <f>Fixture!J72</f>
        <v/>
      </c>
      <c r="G73" s="7">
        <f>Fixture!K72</f>
        <v/>
      </c>
      <c r="H73" s="7">
        <f>IF(ISNUMBER(Resultados!B72),1,0)</f>
        <v/>
      </c>
      <c r="I73" s="7">
        <f>IF($H73=1,Resultados!B72,0)</f>
        <v/>
      </c>
      <c r="J73" s="7">
        <f>IF($H73=1,Resultados!C72,0)</f>
        <v/>
      </c>
      <c r="K73" s="12">
        <f>IFERROR(INDEX($AE72:$BZ72,MATCH($D73,$AE$1:$BZ$1,0)),"")</f>
        <v/>
      </c>
      <c r="L73" s="12">
        <f>IFERROR(INDEX($AE72:$BZ72,MATCH($E73,$AE$1:$BZ$1,0)),"")</f>
        <v/>
      </c>
      <c r="M73" s="12">
        <f>IF(OR($K73="",$L73=""),"",($K73+100*$F73)-($L73+100*$G73))</f>
        <v/>
      </c>
      <c r="N73" s="13">
        <f>IF($M73="","",1/(1+10^(-$M73/400)))</f>
        <v/>
      </c>
      <c r="O73" s="7">
        <f>IF(OR($H73=0,$N73=""),"",IF($I73&gt;$J73,1,IF($I73=$J73,0.5,0)))</f>
        <v/>
      </c>
      <c r="P73" s="14">
        <f>IF($O73="","",IF(ABS($I73-$J73)&lt;=1,1,IF(ABS($I73-$J73)=2,1.5,IF(ABS($I73-$J73)=3,1.75,1.75+(ABS($I73-$J73)-3)/8))))</f>
        <v/>
      </c>
      <c r="Q73" s="14">
        <f>IF($O73="",0,Equipos!$O$4*$P73*($O73-$N73))</f>
        <v/>
      </c>
      <c r="R73" s="12">
        <f>IF($K73="","",$K73+$Q73)</f>
        <v/>
      </c>
      <c r="S73" s="12">
        <f>IF($L73="","",$L73-$Q73)</f>
        <v/>
      </c>
      <c r="T73" s="14">
        <f>IF($M73="","",Equipos!$O$3*$M73)</f>
        <v/>
      </c>
      <c r="U73" s="14">
        <f>IFERROR(VLOOKUP($D73,Equipos!$A:$H,6,0),"")</f>
        <v/>
      </c>
      <c r="V73" s="14">
        <f>IFERROR(VLOOKUP($D73,Equipos!$A:$H,7,0),"")</f>
        <v/>
      </c>
      <c r="W73" s="14">
        <f>IFERROR(VLOOKUP($E73,Equipos!$A:$H,6,0),"")</f>
        <v/>
      </c>
      <c r="X73" s="14">
        <f>IFERROR(VLOOKUP($E73,Equipos!$A:$H,7,0),"")</f>
        <v/>
      </c>
      <c r="Y73" s="14">
        <f>IF(OR($U73="",$W73=""),"",MIN(3.6,MAX(1.8,Equipos!$O$2*SQRT($U73*$W73*$V73*$X73))))</f>
        <v/>
      </c>
      <c r="Z73" s="14">
        <f>IF(OR($Y73="",$T73=""),"",MAX(0.2,($Y73+$T73)/2))</f>
        <v/>
      </c>
      <c r="AA73" s="14">
        <f>IF(OR($Y73="",$T73=""),"",MAX(0.2,($Y73-$T73)/2))</f>
        <v/>
      </c>
      <c r="AE73" s="15">
        <f>IF($D73=AE$1,$R73,IF($E73=AE$1,$S73,AE72))</f>
        <v/>
      </c>
      <c r="AF73" s="15">
        <f>IF($D73=AF$1,$R73,IF($E73=AF$1,$S73,AF72))</f>
        <v/>
      </c>
      <c r="AG73" s="15">
        <f>IF($D73=AG$1,$R73,IF($E73=AG$1,$S73,AG72))</f>
        <v/>
      </c>
      <c r="AH73" s="15">
        <f>IF($D73=AH$1,$R73,IF($E73=AH$1,$S73,AH72))</f>
        <v/>
      </c>
      <c r="AI73" s="15">
        <f>IF($D73=AI$1,$R73,IF($E73=AI$1,$S73,AI72))</f>
        <v/>
      </c>
      <c r="AJ73" s="15">
        <f>IF($D73=AJ$1,$R73,IF($E73=AJ$1,$S73,AJ72))</f>
        <v/>
      </c>
      <c r="AK73" s="15">
        <f>IF($D73=AK$1,$R73,IF($E73=AK$1,$S73,AK72))</f>
        <v/>
      </c>
      <c r="AL73" s="15">
        <f>IF($D73=AL$1,$R73,IF($E73=AL$1,$S73,AL72))</f>
        <v/>
      </c>
      <c r="AM73" s="15">
        <f>IF($D73=AM$1,$R73,IF($E73=AM$1,$S73,AM72))</f>
        <v/>
      </c>
      <c r="AN73" s="15">
        <f>IF($D73=AN$1,$R73,IF($E73=AN$1,$S73,AN72))</f>
        <v/>
      </c>
      <c r="AO73" s="15">
        <f>IF($D73=AO$1,$R73,IF($E73=AO$1,$S73,AO72))</f>
        <v/>
      </c>
      <c r="AP73" s="15">
        <f>IF($D73=AP$1,$R73,IF($E73=AP$1,$S73,AP72))</f>
        <v/>
      </c>
      <c r="AQ73" s="15">
        <f>IF($D73=AQ$1,$R73,IF($E73=AQ$1,$S73,AQ72))</f>
        <v/>
      </c>
      <c r="AR73" s="15">
        <f>IF($D73=AR$1,$R73,IF($E73=AR$1,$S73,AR72))</f>
        <v/>
      </c>
      <c r="AS73" s="15">
        <f>IF($D73=AS$1,$R73,IF($E73=AS$1,$S73,AS72))</f>
        <v/>
      </c>
      <c r="AT73" s="15">
        <f>IF($D73=AT$1,$R73,IF($E73=AT$1,$S73,AT72))</f>
        <v/>
      </c>
      <c r="AU73" s="15">
        <f>IF($D73=AU$1,$R73,IF($E73=AU$1,$S73,AU72))</f>
        <v/>
      </c>
      <c r="AV73" s="15">
        <f>IF($D73=AV$1,$R73,IF($E73=AV$1,$S73,AV72))</f>
        <v/>
      </c>
      <c r="AW73" s="15">
        <f>IF($D73=AW$1,$R73,IF($E73=AW$1,$S73,AW72))</f>
        <v/>
      </c>
      <c r="AX73" s="15">
        <f>IF($D73=AX$1,$R73,IF($E73=AX$1,$S73,AX72))</f>
        <v/>
      </c>
      <c r="AY73" s="15">
        <f>IF($D73=AY$1,$R73,IF($E73=AY$1,$S73,AY72))</f>
        <v/>
      </c>
      <c r="AZ73" s="15">
        <f>IF($D73=AZ$1,$R73,IF($E73=AZ$1,$S73,AZ72))</f>
        <v/>
      </c>
      <c r="BA73" s="15">
        <f>IF($D73=BA$1,$R73,IF($E73=BA$1,$S73,BA72))</f>
        <v/>
      </c>
      <c r="BB73" s="15">
        <f>IF($D73=BB$1,$R73,IF($E73=BB$1,$S73,BB72))</f>
        <v/>
      </c>
      <c r="BC73" s="15">
        <f>IF($D73=BC$1,$R73,IF($E73=BC$1,$S73,BC72))</f>
        <v/>
      </c>
      <c r="BD73" s="15">
        <f>IF($D73=BD$1,$R73,IF($E73=BD$1,$S73,BD72))</f>
        <v/>
      </c>
      <c r="BE73" s="15">
        <f>IF($D73=BE$1,$R73,IF($E73=BE$1,$S73,BE72))</f>
        <v/>
      </c>
      <c r="BF73" s="15">
        <f>IF($D73=BF$1,$R73,IF($E73=BF$1,$S73,BF72))</f>
        <v/>
      </c>
      <c r="BG73" s="15">
        <f>IF($D73=BG$1,$R73,IF($E73=BG$1,$S73,BG72))</f>
        <v/>
      </c>
      <c r="BH73" s="15">
        <f>IF($D73=BH$1,$R73,IF($E73=BH$1,$S73,BH72))</f>
        <v/>
      </c>
      <c r="BI73" s="15">
        <f>IF($D73=BI$1,$R73,IF($E73=BI$1,$S73,BI72))</f>
        <v/>
      </c>
      <c r="BJ73" s="15">
        <f>IF($D73=BJ$1,$R73,IF($E73=BJ$1,$S73,BJ72))</f>
        <v/>
      </c>
      <c r="BK73" s="15">
        <f>IF($D73=BK$1,$R73,IF($E73=BK$1,$S73,BK72))</f>
        <v/>
      </c>
      <c r="BL73" s="15">
        <f>IF($D73=BL$1,$R73,IF($E73=BL$1,$S73,BL72))</f>
        <v/>
      </c>
      <c r="BM73" s="15">
        <f>IF($D73=BM$1,$R73,IF($E73=BM$1,$S73,BM72))</f>
        <v/>
      </c>
      <c r="BN73" s="15">
        <f>IF($D73=BN$1,$R73,IF($E73=BN$1,$S73,BN72))</f>
        <v/>
      </c>
      <c r="BO73" s="15">
        <f>IF($D73=BO$1,$R73,IF($E73=BO$1,$S73,BO72))</f>
        <v/>
      </c>
      <c r="BP73" s="15">
        <f>IF($D73=BP$1,$R73,IF($E73=BP$1,$S73,BP72))</f>
        <v/>
      </c>
      <c r="BQ73" s="15">
        <f>IF($D73=BQ$1,$R73,IF($E73=BQ$1,$S73,BQ72))</f>
        <v/>
      </c>
      <c r="BR73" s="15">
        <f>IF($D73=BR$1,$R73,IF($E73=BR$1,$S73,BR72))</f>
        <v/>
      </c>
      <c r="BS73" s="15">
        <f>IF($D73=BS$1,$R73,IF($E73=BS$1,$S73,BS72))</f>
        <v/>
      </c>
      <c r="BT73" s="15">
        <f>IF($D73=BT$1,$R73,IF($E73=BT$1,$S73,BT72))</f>
        <v/>
      </c>
      <c r="BU73" s="15">
        <f>IF($D73=BU$1,$R73,IF($E73=BU$1,$S73,BU72))</f>
        <v/>
      </c>
      <c r="BV73" s="15">
        <f>IF($D73=BV$1,$R73,IF($E73=BV$1,$S73,BV72))</f>
        <v/>
      </c>
      <c r="BW73" s="15">
        <f>IF($D73=BW$1,$R73,IF($E73=BW$1,$S73,BW72))</f>
        <v/>
      </c>
      <c r="BX73" s="15">
        <f>IF($D73=BX$1,$R73,IF($E73=BX$1,$S73,BX72))</f>
        <v/>
      </c>
      <c r="BY73" s="15">
        <f>IF($D73=BY$1,$R73,IF($E73=BY$1,$S73,BY72))</f>
        <v/>
      </c>
      <c r="BZ73" s="15">
        <f>IF($D73=BZ$1,$R73,IF($E73=BZ$1,$S73,BZ72))</f>
        <v/>
      </c>
    </row>
    <row r="74" ht="15" customHeight="1">
      <c r="A74" s="7">
        <f>Fixture!A73</f>
        <v/>
      </c>
      <c r="B74" s="7">
        <f>Fixture!B73</f>
        <v/>
      </c>
      <c r="C74" s="7">
        <f>Fixture!C73</f>
        <v/>
      </c>
      <c r="D74" s="7">
        <f>Fixture!E73</f>
        <v/>
      </c>
      <c r="E74" s="7">
        <f>Fixture!F73</f>
        <v/>
      </c>
      <c r="F74" s="7">
        <f>Fixture!J73</f>
        <v/>
      </c>
      <c r="G74" s="7">
        <f>Fixture!K73</f>
        <v/>
      </c>
      <c r="H74" s="7">
        <f>IF(ISNUMBER(Resultados!B73),1,0)</f>
        <v/>
      </c>
      <c r="I74" s="7">
        <f>IF($H74=1,Resultados!B73,0)</f>
        <v/>
      </c>
      <c r="J74" s="7">
        <f>IF($H74=1,Resultados!C73,0)</f>
        <v/>
      </c>
      <c r="K74" s="12">
        <f>IFERROR(INDEX($AE73:$BZ73,MATCH($D74,$AE$1:$BZ$1,0)),"")</f>
        <v/>
      </c>
      <c r="L74" s="12">
        <f>IFERROR(INDEX($AE73:$BZ73,MATCH($E74,$AE$1:$BZ$1,0)),"")</f>
        <v/>
      </c>
      <c r="M74" s="12">
        <f>IF(OR($K74="",$L74=""),"",($K74+100*$F74)-($L74+100*$G74))</f>
        <v/>
      </c>
      <c r="N74" s="13">
        <f>IF($M74="","",1/(1+10^(-$M74/400)))</f>
        <v/>
      </c>
      <c r="O74" s="7">
        <f>IF(OR($H74=0,$N74=""),"",IF($I74&gt;$J74,1,IF($I74=$J74,0.5,0)))</f>
        <v/>
      </c>
      <c r="P74" s="14">
        <f>IF($O74="","",IF(ABS($I74-$J74)&lt;=1,1,IF(ABS($I74-$J74)=2,1.5,IF(ABS($I74-$J74)=3,1.75,1.75+(ABS($I74-$J74)-3)/8))))</f>
        <v/>
      </c>
      <c r="Q74" s="14">
        <f>IF($O74="",0,Equipos!$O$4*$P74*($O74-$N74))</f>
        <v/>
      </c>
      <c r="R74" s="12">
        <f>IF($K74="","",$K74+$Q74)</f>
        <v/>
      </c>
      <c r="S74" s="12">
        <f>IF($L74="","",$L74-$Q74)</f>
        <v/>
      </c>
      <c r="T74" s="14">
        <f>IF($M74="","",Equipos!$O$3*$M74)</f>
        <v/>
      </c>
      <c r="U74" s="14">
        <f>IFERROR(VLOOKUP($D74,Equipos!$A:$H,6,0),"")</f>
        <v/>
      </c>
      <c r="V74" s="14">
        <f>IFERROR(VLOOKUP($D74,Equipos!$A:$H,7,0),"")</f>
        <v/>
      </c>
      <c r="W74" s="14">
        <f>IFERROR(VLOOKUP($E74,Equipos!$A:$H,6,0),"")</f>
        <v/>
      </c>
      <c r="X74" s="14">
        <f>IFERROR(VLOOKUP($E74,Equipos!$A:$H,7,0),"")</f>
        <v/>
      </c>
      <c r="Y74" s="14">
        <f>IF(OR($U74="",$W74=""),"",MIN(3.6,MAX(1.8,Equipos!$O$2*SQRT($U74*$W74*$V74*$X74))))</f>
        <v/>
      </c>
      <c r="Z74" s="14">
        <f>IF(OR($Y74="",$T74=""),"",MAX(0.2,($Y74+$T74)/2))</f>
        <v/>
      </c>
      <c r="AA74" s="14">
        <f>IF(OR($Y74="",$T74=""),"",MAX(0.2,($Y74-$T74)/2))</f>
        <v/>
      </c>
      <c r="AE74" s="15">
        <f>IF($D74=AE$1,$R74,IF($E74=AE$1,$S74,AE73))</f>
        <v/>
      </c>
      <c r="AF74" s="15">
        <f>IF($D74=AF$1,$R74,IF($E74=AF$1,$S74,AF73))</f>
        <v/>
      </c>
      <c r="AG74" s="15">
        <f>IF($D74=AG$1,$R74,IF($E74=AG$1,$S74,AG73))</f>
        <v/>
      </c>
      <c r="AH74" s="15">
        <f>IF($D74=AH$1,$R74,IF($E74=AH$1,$S74,AH73))</f>
        <v/>
      </c>
      <c r="AI74" s="15">
        <f>IF($D74=AI$1,$R74,IF($E74=AI$1,$S74,AI73))</f>
        <v/>
      </c>
      <c r="AJ74" s="15">
        <f>IF($D74=AJ$1,$R74,IF($E74=AJ$1,$S74,AJ73))</f>
        <v/>
      </c>
      <c r="AK74" s="15">
        <f>IF($D74=AK$1,$R74,IF($E74=AK$1,$S74,AK73))</f>
        <v/>
      </c>
      <c r="AL74" s="15">
        <f>IF($D74=AL$1,$R74,IF($E74=AL$1,$S74,AL73))</f>
        <v/>
      </c>
      <c r="AM74" s="15">
        <f>IF($D74=AM$1,$R74,IF($E74=AM$1,$S74,AM73))</f>
        <v/>
      </c>
      <c r="AN74" s="15">
        <f>IF($D74=AN$1,$R74,IF($E74=AN$1,$S74,AN73))</f>
        <v/>
      </c>
      <c r="AO74" s="15">
        <f>IF($D74=AO$1,$R74,IF($E74=AO$1,$S74,AO73))</f>
        <v/>
      </c>
      <c r="AP74" s="15">
        <f>IF($D74=AP$1,$R74,IF($E74=AP$1,$S74,AP73))</f>
        <v/>
      </c>
      <c r="AQ74" s="15">
        <f>IF($D74=AQ$1,$R74,IF($E74=AQ$1,$S74,AQ73))</f>
        <v/>
      </c>
      <c r="AR74" s="15">
        <f>IF($D74=AR$1,$R74,IF($E74=AR$1,$S74,AR73))</f>
        <v/>
      </c>
      <c r="AS74" s="15">
        <f>IF($D74=AS$1,$R74,IF($E74=AS$1,$S74,AS73))</f>
        <v/>
      </c>
      <c r="AT74" s="15">
        <f>IF($D74=AT$1,$R74,IF($E74=AT$1,$S74,AT73))</f>
        <v/>
      </c>
      <c r="AU74" s="15">
        <f>IF($D74=AU$1,$R74,IF($E74=AU$1,$S74,AU73))</f>
        <v/>
      </c>
      <c r="AV74" s="15">
        <f>IF($D74=AV$1,$R74,IF($E74=AV$1,$S74,AV73))</f>
        <v/>
      </c>
      <c r="AW74" s="15">
        <f>IF($D74=AW$1,$R74,IF($E74=AW$1,$S74,AW73))</f>
        <v/>
      </c>
      <c r="AX74" s="15">
        <f>IF($D74=AX$1,$R74,IF($E74=AX$1,$S74,AX73))</f>
        <v/>
      </c>
      <c r="AY74" s="15">
        <f>IF($D74=AY$1,$R74,IF($E74=AY$1,$S74,AY73))</f>
        <v/>
      </c>
      <c r="AZ74" s="15">
        <f>IF($D74=AZ$1,$R74,IF($E74=AZ$1,$S74,AZ73))</f>
        <v/>
      </c>
      <c r="BA74" s="15">
        <f>IF($D74=BA$1,$R74,IF($E74=BA$1,$S74,BA73))</f>
        <v/>
      </c>
      <c r="BB74" s="15">
        <f>IF($D74=BB$1,$R74,IF($E74=BB$1,$S74,BB73))</f>
        <v/>
      </c>
      <c r="BC74" s="15">
        <f>IF($D74=BC$1,$R74,IF($E74=BC$1,$S74,BC73))</f>
        <v/>
      </c>
      <c r="BD74" s="15">
        <f>IF($D74=BD$1,$R74,IF($E74=BD$1,$S74,BD73))</f>
        <v/>
      </c>
      <c r="BE74" s="15">
        <f>IF($D74=BE$1,$R74,IF($E74=BE$1,$S74,BE73))</f>
        <v/>
      </c>
      <c r="BF74" s="15">
        <f>IF($D74=BF$1,$R74,IF($E74=BF$1,$S74,BF73))</f>
        <v/>
      </c>
      <c r="BG74" s="15">
        <f>IF($D74=BG$1,$R74,IF($E74=BG$1,$S74,BG73))</f>
        <v/>
      </c>
      <c r="BH74" s="15">
        <f>IF($D74=BH$1,$R74,IF($E74=BH$1,$S74,BH73))</f>
        <v/>
      </c>
      <c r="BI74" s="15">
        <f>IF($D74=BI$1,$R74,IF($E74=BI$1,$S74,BI73))</f>
        <v/>
      </c>
      <c r="BJ74" s="15">
        <f>IF($D74=BJ$1,$R74,IF($E74=BJ$1,$S74,BJ73))</f>
        <v/>
      </c>
      <c r="BK74" s="15">
        <f>IF($D74=BK$1,$R74,IF($E74=BK$1,$S74,BK73))</f>
        <v/>
      </c>
      <c r="BL74" s="15">
        <f>IF($D74=BL$1,$R74,IF($E74=BL$1,$S74,BL73))</f>
        <v/>
      </c>
      <c r="BM74" s="15">
        <f>IF($D74=BM$1,$R74,IF($E74=BM$1,$S74,BM73))</f>
        <v/>
      </c>
      <c r="BN74" s="15">
        <f>IF($D74=BN$1,$R74,IF($E74=BN$1,$S74,BN73))</f>
        <v/>
      </c>
      <c r="BO74" s="15">
        <f>IF($D74=BO$1,$R74,IF($E74=BO$1,$S74,BO73))</f>
        <v/>
      </c>
      <c r="BP74" s="15">
        <f>IF($D74=BP$1,$R74,IF($E74=BP$1,$S74,BP73))</f>
        <v/>
      </c>
      <c r="BQ74" s="15">
        <f>IF($D74=BQ$1,$R74,IF($E74=BQ$1,$S74,BQ73))</f>
        <v/>
      </c>
      <c r="BR74" s="15">
        <f>IF($D74=BR$1,$R74,IF($E74=BR$1,$S74,BR73))</f>
        <v/>
      </c>
      <c r="BS74" s="15">
        <f>IF($D74=BS$1,$R74,IF($E74=BS$1,$S74,BS73))</f>
        <v/>
      </c>
      <c r="BT74" s="15">
        <f>IF($D74=BT$1,$R74,IF($E74=BT$1,$S74,BT73))</f>
        <v/>
      </c>
      <c r="BU74" s="15">
        <f>IF($D74=BU$1,$R74,IF($E74=BU$1,$S74,BU73))</f>
        <v/>
      </c>
      <c r="BV74" s="15">
        <f>IF($D74=BV$1,$R74,IF($E74=BV$1,$S74,BV73))</f>
        <v/>
      </c>
      <c r="BW74" s="15">
        <f>IF($D74=BW$1,$R74,IF($E74=BW$1,$S74,BW73))</f>
        <v/>
      </c>
      <c r="BX74" s="15">
        <f>IF($D74=BX$1,$R74,IF($E74=BX$1,$S74,BX73))</f>
        <v/>
      </c>
      <c r="BY74" s="15">
        <f>IF($D74=BY$1,$R74,IF($E74=BY$1,$S74,BY73))</f>
        <v/>
      </c>
      <c r="BZ74" s="15">
        <f>IF($D74=BZ$1,$R74,IF($E74=BZ$1,$S74,BZ73))</f>
        <v/>
      </c>
    </row>
    <row r="75" ht="15" customHeight="1">
      <c r="A75" s="7">
        <f>Fixture!A74</f>
        <v/>
      </c>
      <c r="B75" s="7">
        <f>Fixture!B74</f>
        <v/>
      </c>
      <c r="C75" s="7">
        <f>Fixture!C74</f>
        <v/>
      </c>
      <c r="D75" s="7">
        <f>Fixture!E74</f>
        <v/>
      </c>
      <c r="E75" s="7">
        <f>Fixture!F74</f>
        <v/>
      </c>
      <c r="F75" s="7">
        <f>Fixture!J74</f>
        <v/>
      </c>
      <c r="G75" s="7">
        <f>Fixture!K74</f>
        <v/>
      </c>
      <c r="H75" s="7">
        <f>IF(ISNUMBER(Resultados!B74),1,0)</f>
        <v/>
      </c>
      <c r="I75" s="7">
        <f>IF($H75=1,Resultados!B74,0)</f>
        <v/>
      </c>
      <c r="J75" s="7">
        <f>IF($H75=1,Resultados!C74,0)</f>
        <v/>
      </c>
      <c r="K75" s="12">
        <f>IFERROR(INDEX($AE74:$BZ74,MATCH($D75,$AE$1:$BZ$1,0)),"")</f>
        <v/>
      </c>
      <c r="L75" s="12">
        <f>IFERROR(INDEX($AE74:$BZ74,MATCH($E75,$AE$1:$BZ$1,0)),"")</f>
        <v/>
      </c>
      <c r="M75" s="12">
        <f>IF(OR($K75="",$L75=""),"",($K75+100*$F75)-($L75+100*$G75))</f>
        <v/>
      </c>
      <c r="N75" s="13">
        <f>IF($M75="","",1/(1+10^(-$M75/400)))</f>
        <v/>
      </c>
      <c r="O75" s="7">
        <f>IF(OR($H75=0,$N75=""),"",IF($I75&gt;$J75,1,IF($I75=$J75,0.5,0)))</f>
        <v/>
      </c>
      <c r="P75" s="14">
        <f>IF($O75="","",IF(ABS($I75-$J75)&lt;=1,1,IF(ABS($I75-$J75)=2,1.5,IF(ABS($I75-$J75)=3,1.75,1.75+(ABS($I75-$J75)-3)/8))))</f>
        <v/>
      </c>
      <c r="Q75" s="14">
        <f>IF($O75="",0,Equipos!$O$4*$P75*($O75-$N75))</f>
        <v/>
      </c>
      <c r="R75" s="12">
        <f>IF($K75="","",$K75+$Q75)</f>
        <v/>
      </c>
      <c r="S75" s="12">
        <f>IF($L75="","",$L75-$Q75)</f>
        <v/>
      </c>
      <c r="T75" s="14">
        <f>IF($M75="","",Equipos!$O$3*$M75)</f>
        <v/>
      </c>
      <c r="U75" s="14">
        <f>IFERROR(VLOOKUP($D75,Equipos!$A:$H,6,0),"")</f>
        <v/>
      </c>
      <c r="V75" s="14">
        <f>IFERROR(VLOOKUP($D75,Equipos!$A:$H,7,0),"")</f>
        <v/>
      </c>
      <c r="W75" s="14">
        <f>IFERROR(VLOOKUP($E75,Equipos!$A:$H,6,0),"")</f>
        <v/>
      </c>
      <c r="X75" s="14">
        <f>IFERROR(VLOOKUP($E75,Equipos!$A:$H,7,0),"")</f>
        <v/>
      </c>
      <c r="Y75" s="14">
        <f>IF(OR($U75="",$W75=""),"",MIN(3.6,MAX(1.8,Equipos!$O$2*SQRT($U75*$W75*$V75*$X75))))</f>
        <v/>
      </c>
      <c r="Z75" s="14">
        <f>IF(OR($Y75="",$T75=""),"",MAX(0.2,($Y75+$T75)/2))</f>
        <v/>
      </c>
      <c r="AA75" s="14">
        <f>IF(OR($Y75="",$T75=""),"",MAX(0.2,($Y75-$T75)/2))</f>
        <v/>
      </c>
      <c r="AE75" s="15">
        <f>IF($D75=AE$1,$R75,IF($E75=AE$1,$S75,AE74))</f>
        <v/>
      </c>
      <c r="AF75" s="15">
        <f>IF($D75=AF$1,$R75,IF($E75=AF$1,$S75,AF74))</f>
        <v/>
      </c>
      <c r="AG75" s="15">
        <f>IF($D75=AG$1,$R75,IF($E75=AG$1,$S75,AG74))</f>
        <v/>
      </c>
      <c r="AH75" s="15">
        <f>IF($D75=AH$1,$R75,IF($E75=AH$1,$S75,AH74))</f>
        <v/>
      </c>
      <c r="AI75" s="15">
        <f>IF($D75=AI$1,$R75,IF($E75=AI$1,$S75,AI74))</f>
        <v/>
      </c>
      <c r="AJ75" s="15">
        <f>IF($D75=AJ$1,$R75,IF($E75=AJ$1,$S75,AJ74))</f>
        <v/>
      </c>
      <c r="AK75" s="15">
        <f>IF($D75=AK$1,$R75,IF($E75=AK$1,$S75,AK74))</f>
        <v/>
      </c>
      <c r="AL75" s="15">
        <f>IF($D75=AL$1,$R75,IF($E75=AL$1,$S75,AL74))</f>
        <v/>
      </c>
      <c r="AM75" s="15">
        <f>IF($D75=AM$1,$R75,IF($E75=AM$1,$S75,AM74))</f>
        <v/>
      </c>
      <c r="AN75" s="15">
        <f>IF($D75=AN$1,$R75,IF($E75=AN$1,$S75,AN74))</f>
        <v/>
      </c>
      <c r="AO75" s="15">
        <f>IF($D75=AO$1,$R75,IF($E75=AO$1,$S75,AO74))</f>
        <v/>
      </c>
      <c r="AP75" s="15">
        <f>IF($D75=AP$1,$R75,IF($E75=AP$1,$S75,AP74))</f>
        <v/>
      </c>
      <c r="AQ75" s="15">
        <f>IF($D75=AQ$1,$R75,IF($E75=AQ$1,$S75,AQ74))</f>
        <v/>
      </c>
      <c r="AR75" s="15">
        <f>IF($D75=AR$1,$R75,IF($E75=AR$1,$S75,AR74))</f>
        <v/>
      </c>
      <c r="AS75" s="15">
        <f>IF($D75=AS$1,$R75,IF($E75=AS$1,$S75,AS74))</f>
        <v/>
      </c>
      <c r="AT75" s="15">
        <f>IF($D75=AT$1,$R75,IF($E75=AT$1,$S75,AT74))</f>
        <v/>
      </c>
      <c r="AU75" s="15">
        <f>IF($D75=AU$1,$R75,IF($E75=AU$1,$S75,AU74))</f>
        <v/>
      </c>
      <c r="AV75" s="15">
        <f>IF($D75=AV$1,$R75,IF($E75=AV$1,$S75,AV74))</f>
        <v/>
      </c>
      <c r="AW75" s="15">
        <f>IF($D75=AW$1,$R75,IF($E75=AW$1,$S75,AW74))</f>
        <v/>
      </c>
      <c r="AX75" s="15">
        <f>IF($D75=AX$1,$R75,IF($E75=AX$1,$S75,AX74))</f>
        <v/>
      </c>
      <c r="AY75" s="15">
        <f>IF($D75=AY$1,$R75,IF($E75=AY$1,$S75,AY74))</f>
        <v/>
      </c>
      <c r="AZ75" s="15">
        <f>IF($D75=AZ$1,$R75,IF($E75=AZ$1,$S75,AZ74))</f>
        <v/>
      </c>
      <c r="BA75" s="15">
        <f>IF($D75=BA$1,$R75,IF($E75=BA$1,$S75,BA74))</f>
        <v/>
      </c>
      <c r="BB75" s="15">
        <f>IF($D75=BB$1,$R75,IF($E75=BB$1,$S75,BB74))</f>
        <v/>
      </c>
      <c r="BC75" s="15">
        <f>IF($D75=BC$1,$R75,IF($E75=BC$1,$S75,BC74))</f>
        <v/>
      </c>
      <c r="BD75" s="15">
        <f>IF($D75=BD$1,$R75,IF($E75=BD$1,$S75,BD74))</f>
        <v/>
      </c>
      <c r="BE75" s="15">
        <f>IF($D75=BE$1,$R75,IF($E75=BE$1,$S75,BE74))</f>
        <v/>
      </c>
      <c r="BF75" s="15">
        <f>IF($D75=BF$1,$R75,IF($E75=BF$1,$S75,BF74))</f>
        <v/>
      </c>
      <c r="BG75" s="15">
        <f>IF($D75=BG$1,$R75,IF($E75=BG$1,$S75,BG74))</f>
        <v/>
      </c>
      <c r="BH75" s="15">
        <f>IF($D75=BH$1,$R75,IF($E75=BH$1,$S75,BH74))</f>
        <v/>
      </c>
      <c r="BI75" s="15">
        <f>IF($D75=BI$1,$R75,IF($E75=BI$1,$S75,BI74))</f>
        <v/>
      </c>
      <c r="BJ75" s="15">
        <f>IF($D75=BJ$1,$R75,IF($E75=BJ$1,$S75,BJ74))</f>
        <v/>
      </c>
      <c r="BK75" s="15">
        <f>IF($D75=BK$1,$R75,IF($E75=BK$1,$S75,BK74))</f>
        <v/>
      </c>
      <c r="BL75" s="15">
        <f>IF($D75=BL$1,$R75,IF($E75=BL$1,$S75,BL74))</f>
        <v/>
      </c>
      <c r="BM75" s="15">
        <f>IF($D75=BM$1,$R75,IF($E75=BM$1,$S75,BM74))</f>
        <v/>
      </c>
      <c r="BN75" s="15">
        <f>IF($D75=BN$1,$R75,IF($E75=BN$1,$S75,BN74))</f>
        <v/>
      </c>
      <c r="BO75" s="15">
        <f>IF($D75=BO$1,$R75,IF($E75=BO$1,$S75,BO74))</f>
        <v/>
      </c>
      <c r="BP75" s="15">
        <f>IF($D75=BP$1,$R75,IF($E75=BP$1,$S75,BP74))</f>
        <v/>
      </c>
      <c r="BQ75" s="15">
        <f>IF($D75=BQ$1,$R75,IF($E75=BQ$1,$S75,BQ74))</f>
        <v/>
      </c>
      <c r="BR75" s="15">
        <f>IF($D75=BR$1,$R75,IF($E75=BR$1,$S75,BR74))</f>
        <v/>
      </c>
      <c r="BS75" s="15">
        <f>IF($D75=BS$1,$R75,IF($E75=BS$1,$S75,BS74))</f>
        <v/>
      </c>
      <c r="BT75" s="15">
        <f>IF($D75=BT$1,$R75,IF($E75=BT$1,$S75,BT74))</f>
        <v/>
      </c>
      <c r="BU75" s="15">
        <f>IF($D75=BU$1,$R75,IF($E75=BU$1,$S75,BU74))</f>
        <v/>
      </c>
      <c r="BV75" s="15">
        <f>IF($D75=BV$1,$R75,IF($E75=BV$1,$S75,BV74))</f>
        <v/>
      </c>
      <c r="BW75" s="15">
        <f>IF($D75=BW$1,$R75,IF($E75=BW$1,$S75,BW74))</f>
        <v/>
      </c>
      <c r="BX75" s="15">
        <f>IF($D75=BX$1,$R75,IF($E75=BX$1,$S75,BX74))</f>
        <v/>
      </c>
      <c r="BY75" s="15">
        <f>IF($D75=BY$1,$R75,IF($E75=BY$1,$S75,BY74))</f>
        <v/>
      </c>
      <c r="BZ75" s="15">
        <f>IF($D75=BZ$1,$R75,IF($E75=BZ$1,$S75,BZ74))</f>
        <v/>
      </c>
    </row>
    <row r="76" ht="15" customHeight="1">
      <c r="A76" s="7">
        <f>Fixture!A75</f>
        <v/>
      </c>
      <c r="B76" s="7">
        <f>Fixture!B75</f>
        <v/>
      </c>
      <c r="C76" s="7">
        <f>Fixture!C75</f>
        <v/>
      </c>
      <c r="D76" s="7">
        <f>Fixture!E75</f>
        <v/>
      </c>
      <c r="E76" s="7">
        <f>Fixture!F75</f>
        <v/>
      </c>
      <c r="F76" s="7">
        <f>Fixture!J75</f>
        <v/>
      </c>
      <c r="G76" s="7">
        <f>Fixture!K75</f>
        <v/>
      </c>
      <c r="H76" s="7">
        <f>IF(ISNUMBER(Resultados!B75),1,0)</f>
        <v/>
      </c>
      <c r="I76" s="7">
        <f>IF($H76=1,Resultados!B75,0)</f>
        <v/>
      </c>
      <c r="J76" s="7">
        <f>IF($H76=1,Resultados!C75,0)</f>
        <v/>
      </c>
      <c r="K76" s="12">
        <f>IFERROR(INDEX($AE75:$BZ75,MATCH($D76,$AE$1:$BZ$1,0)),"")</f>
        <v/>
      </c>
      <c r="L76" s="12">
        <f>IFERROR(INDEX($AE75:$BZ75,MATCH($E76,$AE$1:$BZ$1,0)),"")</f>
        <v/>
      </c>
      <c r="M76" s="12">
        <f>IF(OR($K76="",$L76=""),"",($K76+100*$F76)-($L76+100*$G76))</f>
        <v/>
      </c>
      <c r="N76" s="13">
        <f>IF($M76="","",1/(1+10^(-$M76/400)))</f>
        <v/>
      </c>
      <c r="O76" s="7">
        <f>IF(OR($H76=0,$N76=""),"",IF($I76&gt;$J76,1,IF($I76=$J76,0.5,0)))</f>
        <v/>
      </c>
      <c r="P76" s="14">
        <f>IF($O76="","",IF(ABS($I76-$J76)&lt;=1,1,IF(ABS($I76-$J76)=2,1.5,IF(ABS($I76-$J76)=3,1.75,1.75+(ABS($I76-$J76)-3)/8))))</f>
        <v/>
      </c>
      <c r="Q76" s="14">
        <f>IF($O76="",0,Equipos!$O$4*$P76*($O76-$N76))</f>
        <v/>
      </c>
      <c r="R76" s="12">
        <f>IF($K76="","",$K76+$Q76)</f>
        <v/>
      </c>
      <c r="S76" s="12">
        <f>IF($L76="","",$L76-$Q76)</f>
        <v/>
      </c>
      <c r="T76" s="14">
        <f>IF($M76="","",Equipos!$O$3*$M76)</f>
        <v/>
      </c>
      <c r="U76" s="14">
        <f>IFERROR(VLOOKUP($D76,Equipos!$A:$H,6,0),"")</f>
        <v/>
      </c>
      <c r="V76" s="14">
        <f>IFERROR(VLOOKUP($D76,Equipos!$A:$H,7,0),"")</f>
        <v/>
      </c>
      <c r="W76" s="14">
        <f>IFERROR(VLOOKUP($E76,Equipos!$A:$H,6,0),"")</f>
        <v/>
      </c>
      <c r="X76" s="14">
        <f>IFERROR(VLOOKUP($E76,Equipos!$A:$H,7,0),"")</f>
        <v/>
      </c>
      <c r="Y76" s="14">
        <f>IF(OR($U76="",$W76=""),"",MIN(3.6,MAX(1.8,Equipos!$O$2*SQRT($U76*$W76*$V76*$X76))))</f>
        <v/>
      </c>
      <c r="Z76" s="14">
        <f>IF(OR($Y76="",$T76=""),"",MAX(0.2,($Y76+$T76)/2))</f>
        <v/>
      </c>
      <c r="AA76" s="14">
        <f>IF(OR($Y76="",$T76=""),"",MAX(0.2,($Y76-$T76)/2))</f>
        <v/>
      </c>
      <c r="AE76" s="15">
        <f>IF($D76=AE$1,$R76,IF($E76=AE$1,$S76,AE75))</f>
        <v/>
      </c>
      <c r="AF76" s="15">
        <f>IF($D76=AF$1,$R76,IF($E76=AF$1,$S76,AF75))</f>
        <v/>
      </c>
      <c r="AG76" s="15">
        <f>IF($D76=AG$1,$R76,IF($E76=AG$1,$S76,AG75))</f>
        <v/>
      </c>
      <c r="AH76" s="15">
        <f>IF($D76=AH$1,$R76,IF($E76=AH$1,$S76,AH75))</f>
        <v/>
      </c>
      <c r="AI76" s="15">
        <f>IF($D76=AI$1,$R76,IF($E76=AI$1,$S76,AI75))</f>
        <v/>
      </c>
      <c r="AJ76" s="15">
        <f>IF($D76=AJ$1,$R76,IF($E76=AJ$1,$S76,AJ75))</f>
        <v/>
      </c>
      <c r="AK76" s="15">
        <f>IF($D76=AK$1,$R76,IF($E76=AK$1,$S76,AK75))</f>
        <v/>
      </c>
      <c r="AL76" s="15">
        <f>IF($D76=AL$1,$R76,IF($E76=AL$1,$S76,AL75))</f>
        <v/>
      </c>
      <c r="AM76" s="15">
        <f>IF($D76=AM$1,$R76,IF($E76=AM$1,$S76,AM75))</f>
        <v/>
      </c>
      <c r="AN76" s="15">
        <f>IF($D76=AN$1,$R76,IF($E76=AN$1,$S76,AN75))</f>
        <v/>
      </c>
      <c r="AO76" s="15">
        <f>IF($D76=AO$1,$R76,IF($E76=AO$1,$S76,AO75))</f>
        <v/>
      </c>
      <c r="AP76" s="15">
        <f>IF($D76=AP$1,$R76,IF($E76=AP$1,$S76,AP75))</f>
        <v/>
      </c>
      <c r="AQ76" s="15">
        <f>IF($D76=AQ$1,$R76,IF($E76=AQ$1,$S76,AQ75))</f>
        <v/>
      </c>
      <c r="AR76" s="15">
        <f>IF($D76=AR$1,$R76,IF($E76=AR$1,$S76,AR75))</f>
        <v/>
      </c>
      <c r="AS76" s="15">
        <f>IF($D76=AS$1,$R76,IF($E76=AS$1,$S76,AS75))</f>
        <v/>
      </c>
      <c r="AT76" s="15">
        <f>IF($D76=AT$1,$R76,IF($E76=AT$1,$S76,AT75))</f>
        <v/>
      </c>
      <c r="AU76" s="15">
        <f>IF($D76=AU$1,$R76,IF($E76=AU$1,$S76,AU75))</f>
        <v/>
      </c>
      <c r="AV76" s="15">
        <f>IF($D76=AV$1,$R76,IF($E76=AV$1,$S76,AV75))</f>
        <v/>
      </c>
      <c r="AW76" s="15">
        <f>IF($D76=AW$1,$R76,IF($E76=AW$1,$S76,AW75))</f>
        <v/>
      </c>
      <c r="AX76" s="15">
        <f>IF($D76=AX$1,$R76,IF($E76=AX$1,$S76,AX75))</f>
        <v/>
      </c>
      <c r="AY76" s="15">
        <f>IF($D76=AY$1,$R76,IF($E76=AY$1,$S76,AY75))</f>
        <v/>
      </c>
      <c r="AZ76" s="15">
        <f>IF($D76=AZ$1,$R76,IF($E76=AZ$1,$S76,AZ75))</f>
        <v/>
      </c>
      <c r="BA76" s="15">
        <f>IF($D76=BA$1,$R76,IF($E76=BA$1,$S76,BA75))</f>
        <v/>
      </c>
      <c r="BB76" s="15">
        <f>IF($D76=BB$1,$R76,IF($E76=BB$1,$S76,BB75))</f>
        <v/>
      </c>
      <c r="BC76" s="15">
        <f>IF($D76=BC$1,$R76,IF($E76=BC$1,$S76,BC75))</f>
        <v/>
      </c>
      <c r="BD76" s="15">
        <f>IF($D76=BD$1,$R76,IF($E76=BD$1,$S76,BD75))</f>
        <v/>
      </c>
      <c r="BE76" s="15">
        <f>IF($D76=BE$1,$R76,IF($E76=BE$1,$S76,BE75))</f>
        <v/>
      </c>
      <c r="BF76" s="15">
        <f>IF($D76=BF$1,$R76,IF($E76=BF$1,$S76,BF75))</f>
        <v/>
      </c>
      <c r="BG76" s="15">
        <f>IF($D76=BG$1,$R76,IF($E76=BG$1,$S76,BG75))</f>
        <v/>
      </c>
      <c r="BH76" s="15">
        <f>IF($D76=BH$1,$R76,IF($E76=BH$1,$S76,BH75))</f>
        <v/>
      </c>
      <c r="BI76" s="15">
        <f>IF($D76=BI$1,$R76,IF($E76=BI$1,$S76,BI75))</f>
        <v/>
      </c>
      <c r="BJ76" s="15">
        <f>IF($D76=BJ$1,$R76,IF($E76=BJ$1,$S76,BJ75))</f>
        <v/>
      </c>
      <c r="BK76" s="15">
        <f>IF($D76=BK$1,$R76,IF($E76=BK$1,$S76,BK75))</f>
        <v/>
      </c>
      <c r="BL76" s="15">
        <f>IF($D76=BL$1,$R76,IF($E76=BL$1,$S76,BL75))</f>
        <v/>
      </c>
      <c r="BM76" s="15">
        <f>IF($D76=BM$1,$R76,IF($E76=BM$1,$S76,BM75))</f>
        <v/>
      </c>
      <c r="BN76" s="15">
        <f>IF($D76=BN$1,$R76,IF($E76=BN$1,$S76,BN75))</f>
        <v/>
      </c>
      <c r="BO76" s="15">
        <f>IF($D76=BO$1,$R76,IF($E76=BO$1,$S76,BO75))</f>
        <v/>
      </c>
      <c r="BP76" s="15">
        <f>IF($D76=BP$1,$R76,IF($E76=BP$1,$S76,BP75))</f>
        <v/>
      </c>
      <c r="BQ76" s="15">
        <f>IF($D76=BQ$1,$R76,IF($E76=BQ$1,$S76,BQ75))</f>
        <v/>
      </c>
      <c r="BR76" s="15">
        <f>IF($D76=BR$1,$R76,IF($E76=BR$1,$S76,BR75))</f>
        <v/>
      </c>
      <c r="BS76" s="15">
        <f>IF($D76=BS$1,$R76,IF($E76=BS$1,$S76,BS75))</f>
        <v/>
      </c>
      <c r="BT76" s="15">
        <f>IF($D76=BT$1,$R76,IF($E76=BT$1,$S76,BT75))</f>
        <v/>
      </c>
      <c r="BU76" s="15">
        <f>IF($D76=BU$1,$R76,IF($E76=BU$1,$S76,BU75))</f>
        <v/>
      </c>
      <c r="BV76" s="15">
        <f>IF($D76=BV$1,$R76,IF($E76=BV$1,$S76,BV75))</f>
        <v/>
      </c>
      <c r="BW76" s="15">
        <f>IF($D76=BW$1,$R76,IF($E76=BW$1,$S76,BW75))</f>
        <v/>
      </c>
      <c r="BX76" s="15">
        <f>IF($D76=BX$1,$R76,IF($E76=BX$1,$S76,BX75))</f>
        <v/>
      </c>
      <c r="BY76" s="15">
        <f>IF($D76=BY$1,$R76,IF($E76=BY$1,$S76,BY75))</f>
        <v/>
      </c>
      <c r="BZ76" s="15">
        <f>IF($D76=BZ$1,$R76,IF($E76=BZ$1,$S76,BZ75))</f>
        <v/>
      </c>
    </row>
    <row r="77" ht="15" customHeight="1">
      <c r="A77" s="7">
        <f>Fixture!A76</f>
        <v/>
      </c>
      <c r="B77" s="7">
        <f>Fixture!B76</f>
        <v/>
      </c>
      <c r="C77" s="7">
        <f>Fixture!C76</f>
        <v/>
      </c>
      <c r="D77" s="7">
        <f>Fixture!E76</f>
        <v/>
      </c>
      <c r="E77" s="7">
        <f>Fixture!F76</f>
        <v/>
      </c>
      <c r="F77" s="7">
        <f>Fixture!J76</f>
        <v/>
      </c>
      <c r="G77" s="7">
        <f>Fixture!K76</f>
        <v/>
      </c>
      <c r="H77" s="7">
        <f>IF(ISNUMBER(Resultados!B76),1,0)</f>
        <v/>
      </c>
      <c r="I77" s="7">
        <f>IF($H77=1,Resultados!B76,0)</f>
        <v/>
      </c>
      <c r="J77" s="7">
        <f>IF($H77=1,Resultados!C76,0)</f>
        <v/>
      </c>
      <c r="K77" s="12">
        <f>IFERROR(INDEX($AE76:$BZ76,MATCH($D77,$AE$1:$BZ$1,0)),"")</f>
        <v/>
      </c>
      <c r="L77" s="12">
        <f>IFERROR(INDEX($AE76:$BZ76,MATCH($E77,$AE$1:$BZ$1,0)),"")</f>
        <v/>
      </c>
      <c r="M77" s="12">
        <f>IF(OR($K77="",$L77=""),"",($K77+100*$F77)-($L77+100*$G77))</f>
        <v/>
      </c>
      <c r="N77" s="13">
        <f>IF($M77="","",1/(1+10^(-$M77/400)))</f>
        <v/>
      </c>
      <c r="O77" s="7">
        <f>IF(OR($H77=0,$N77=""),"",IF($I77&gt;$J77,1,IF($I77=$J77,0.5,0)))</f>
        <v/>
      </c>
      <c r="P77" s="14">
        <f>IF($O77="","",IF(ABS($I77-$J77)&lt;=1,1,IF(ABS($I77-$J77)=2,1.5,IF(ABS($I77-$J77)=3,1.75,1.75+(ABS($I77-$J77)-3)/8))))</f>
        <v/>
      </c>
      <c r="Q77" s="14">
        <f>IF($O77="",0,Equipos!$O$4*$P77*($O77-$N77))</f>
        <v/>
      </c>
      <c r="R77" s="12">
        <f>IF($K77="","",$K77+$Q77)</f>
        <v/>
      </c>
      <c r="S77" s="12">
        <f>IF($L77="","",$L77-$Q77)</f>
        <v/>
      </c>
      <c r="T77" s="14">
        <f>IF($M77="","",Equipos!$O$3*$M77)</f>
        <v/>
      </c>
      <c r="U77" s="14">
        <f>IFERROR(VLOOKUP($D77,Equipos!$A:$H,6,0),"")</f>
        <v/>
      </c>
      <c r="V77" s="14">
        <f>IFERROR(VLOOKUP($D77,Equipos!$A:$H,7,0),"")</f>
        <v/>
      </c>
      <c r="W77" s="14">
        <f>IFERROR(VLOOKUP($E77,Equipos!$A:$H,6,0),"")</f>
        <v/>
      </c>
      <c r="X77" s="14">
        <f>IFERROR(VLOOKUP($E77,Equipos!$A:$H,7,0),"")</f>
        <v/>
      </c>
      <c r="Y77" s="14">
        <f>IF(OR($U77="",$W77=""),"",MIN(3.6,MAX(1.8,Equipos!$O$2*SQRT($U77*$W77*$V77*$X77))))</f>
        <v/>
      </c>
      <c r="Z77" s="14">
        <f>IF(OR($Y77="",$T77=""),"",MAX(0.2,($Y77+$T77)/2))</f>
        <v/>
      </c>
      <c r="AA77" s="14">
        <f>IF(OR($Y77="",$T77=""),"",MAX(0.2,($Y77-$T77)/2))</f>
        <v/>
      </c>
      <c r="AE77" s="15">
        <f>IF($D77=AE$1,$R77,IF($E77=AE$1,$S77,AE76))</f>
        <v/>
      </c>
      <c r="AF77" s="15">
        <f>IF($D77=AF$1,$R77,IF($E77=AF$1,$S77,AF76))</f>
        <v/>
      </c>
      <c r="AG77" s="15">
        <f>IF($D77=AG$1,$R77,IF($E77=AG$1,$S77,AG76))</f>
        <v/>
      </c>
      <c r="AH77" s="15">
        <f>IF($D77=AH$1,$R77,IF($E77=AH$1,$S77,AH76))</f>
        <v/>
      </c>
      <c r="AI77" s="15">
        <f>IF($D77=AI$1,$R77,IF($E77=AI$1,$S77,AI76))</f>
        <v/>
      </c>
      <c r="AJ77" s="15">
        <f>IF($D77=AJ$1,$R77,IF($E77=AJ$1,$S77,AJ76))</f>
        <v/>
      </c>
      <c r="AK77" s="15">
        <f>IF($D77=AK$1,$R77,IF($E77=AK$1,$S77,AK76))</f>
        <v/>
      </c>
      <c r="AL77" s="15">
        <f>IF($D77=AL$1,$R77,IF($E77=AL$1,$S77,AL76))</f>
        <v/>
      </c>
      <c r="AM77" s="15">
        <f>IF($D77=AM$1,$R77,IF($E77=AM$1,$S77,AM76))</f>
        <v/>
      </c>
      <c r="AN77" s="15">
        <f>IF($D77=AN$1,$R77,IF($E77=AN$1,$S77,AN76))</f>
        <v/>
      </c>
      <c r="AO77" s="15">
        <f>IF($D77=AO$1,$R77,IF($E77=AO$1,$S77,AO76))</f>
        <v/>
      </c>
      <c r="AP77" s="15">
        <f>IF($D77=AP$1,$R77,IF($E77=AP$1,$S77,AP76))</f>
        <v/>
      </c>
      <c r="AQ77" s="15">
        <f>IF($D77=AQ$1,$R77,IF($E77=AQ$1,$S77,AQ76))</f>
        <v/>
      </c>
      <c r="AR77" s="15">
        <f>IF($D77=AR$1,$R77,IF($E77=AR$1,$S77,AR76))</f>
        <v/>
      </c>
      <c r="AS77" s="15">
        <f>IF($D77=AS$1,$R77,IF($E77=AS$1,$S77,AS76))</f>
        <v/>
      </c>
      <c r="AT77" s="15">
        <f>IF($D77=AT$1,$R77,IF($E77=AT$1,$S77,AT76))</f>
        <v/>
      </c>
      <c r="AU77" s="15">
        <f>IF($D77=AU$1,$R77,IF($E77=AU$1,$S77,AU76))</f>
        <v/>
      </c>
      <c r="AV77" s="15">
        <f>IF($D77=AV$1,$R77,IF($E77=AV$1,$S77,AV76))</f>
        <v/>
      </c>
      <c r="AW77" s="15">
        <f>IF($D77=AW$1,$R77,IF($E77=AW$1,$S77,AW76))</f>
        <v/>
      </c>
      <c r="AX77" s="15">
        <f>IF($D77=AX$1,$R77,IF($E77=AX$1,$S77,AX76))</f>
        <v/>
      </c>
      <c r="AY77" s="15">
        <f>IF($D77=AY$1,$R77,IF($E77=AY$1,$S77,AY76))</f>
        <v/>
      </c>
      <c r="AZ77" s="15">
        <f>IF($D77=AZ$1,$R77,IF($E77=AZ$1,$S77,AZ76))</f>
        <v/>
      </c>
      <c r="BA77" s="15">
        <f>IF($D77=BA$1,$R77,IF($E77=BA$1,$S77,BA76))</f>
        <v/>
      </c>
      <c r="BB77" s="15">
        <f>IF($D77=BB$1,$R77,IF($E77=BB$1,$S77,BB76))</f>
        <v/>
      </c>
      <c r="BC77" s="15">
        <f>IF($D77=BC$1,$R77,IF($E77=BC$1,$S77,BC76))</f>
        <v/>
      </c>
      <c r="BD77" s="15">
        <f>IF($D77=BD$1,$R77,IF($E77=BD$1,$S77,BD76))</f>
        <v/>
      </c>
      <c r="BE77" s="15">
        <f>IF($D77=BE$1,$R77,IF($E77=BE$1,$S77,BE76))</f>
        <v/>
      </c>
      <c r="BF77" s="15">
        <f>IF($D77=BF$1,$R77,IF($E77=BF$1,$S77,BF76))</f>
        <v/>
      </c>
      <c r="BG77" s="15">
        <f>IF($D77=BG$1,$R77,IF($E77=BG$1,$S77,BG76))</f>
        <v/>
      </c>
      <c r="BH77" s="15">
        <f>IF($D77=BH$1,$R77,IF($E77=BH$1,$S77,BH76))</f>
        <v/>
      </c>
      <c r="BI77" s="15">
        <f>IF($D77=BI$1,$R77,IF($E77=BI$1,$S77,BI76))</f>
        <v/>
      </c>
      <c r="BJ77" s="15">
        <f>IF($D77=BJ$1,$R77,IF($E77=BJ$1,$S77,BJ76))</f>
        <v/>
      </c>
      <c r="BK77" s="15">
        <f>IF($D77=BK$1,$R77,IF($E77=BK$1,$S77,BK76))</f>
        <v/>
      </c>
      <c r="BL77" s="15">
        <f>IF($D77=BL$1,$R77,IF($E77=BL$1,$S77,BL76))</f>
        <v/>
      </c>
      <c r="BM77" s="15">
        <f>IF($D77=BM$1,$R77,IF($E77=BM$1,$S77,BM76))</f>
        <v/>
      </c>
      <c r="BN77" s="15">
        <f>IF($D77=BN$1,$R77,IF($E77=BN$1,$S77,BN76))</f>
        <v/>
      </c>
      <c r="BO77" s="15">
        <f>IF($D77=BO$1,$R77,IF($E77=BO$1,$S77,BO76))</f>
        <v/>
      </c>
      <c r="BP77" s="15">
        <f>IF($D77=BP$1,$R77,IF($E77=BP$1,$S77,BP76))</f>
        <v/>
      </c>
      <c r="BQ77" s="15">
        <f>IF($D77=BQ$1,$R77,IF($E77=BQ$1,$S77,BQ76))</f>
        <v/>
      </c>
      <c r="BR77" s="15">
        <f>IF($D77=BR$1,$R77,IF($E77=BR$1,$S77,BR76))</f>
        <v/>
      </c>
      <c r="BS77" s="15">
        <f>IF($D77=BS$1,$R77,IF($E77=BS$1,$S77,BS76))</f>
        <v/>
      </c>
      <c r="BT77" s="15">
        <f>IF($D77=BT$1,$R77,IF($E77=BT$1,$S77,BT76))</f>
        <v/>
      </c>
      <c r="BU77" s="15">
        <f>IF($D77=BU$1,$R77,IF($E77=BU$1,$S77,BU76))</f>
        <v/>
      </c>
      <c r="BV77" s="15">
        <f>IF($D77=BV$1,$R77,IF($E77=BV$1,$S77,BV76))</f>
        <v/>
      </c>
      <c r="BW77" s="15">
        <f>IF($D77=BW$1,$R77,IF($E77=BW$1,$S77,BW76))</f>
        <v/>
      </c>
      <c r="BX77" s="15">
        <f>IF($D77=BX$1,$R77,IF($E77=BX$1,$S77,BX76))</f>
        <v/>
      </c>
      <c r="BY77" s="15">
        <f>IF($D77=BY$1,$R77,IF($E77=BY$1,$S77,BY76))</f>
        <v/>
      </c>
      <c r="BZ77" s="15">
        <f>IF($D77=BZ$1,$R77,IF($E77=BZ$1,$S77,BZ76))</f>
        <v/>
      </c>
    </row>
    <row r="78" ht="15" customHeight="1">
      <c r="A78" s="7">
        <f>Fixture!A77</f>
        <v/>
      </c>
      <c r="B78" s="7">
        <f>Fixture!B77</f>
        <v/>
      </c>
      <c r="C78" s="7">
        <f>Fixture!C77</f>
        <v/>
      </c>
      <c r="D78" s="7">
        <f>Fixture!E77</f>
        <v/>
      </c>
      <c r="E78" s="7">
        <f>Fixture!F77</f>
        <v/>
      </c>
      <c r="F78" s="7">
        <f>Fixture!J77</f>
        <v/>
      </c>
      <c r="G78" s="7">
        <f>Fixture!K77</f>
        <v/>
      </c>
      <c r="H78" s="7">
        <f>IF(ISNUMBER(Resultados!B77),1,0)</f>
        <v/>
      </c>
      <c r="I78" s="7">
        <f>IF($H78=1,Resultados!B77,0)</f>
        <v/>
      </c>
      <c r="J78" s="7">
        <f>IF($H78=1,Resultados!C77,0)</f>
        <v/>
      </c>
      <c r="K78" s="12">
        <f>IFERROR(INDEX($AE77:$BZ77,MATCH($D78,$AE$1:$BZ$1,0)),"")</f>
        <v/>
      </c>
      <c r="L78" s="12">
        <f>IFERROR(INDEX($AE77:$BZ77,MATCH($E78,$AE$1:$BZ$1,0)),"")</f>
        <v/>
      </c>
      <c r="M78" s="12">
        <f>IF(OR($K78="",$L78=""),"",($K78+100*$F78)-($L78+100*$G78))</f>
        <v/>
      </c>
      <c r="N78" s="13">
        <f>IF($M78="","",1/(1+10^(-$M78/400)))</f>
        <v/>
      </c>
      <c r="O78" s="7">
        <f>IF(OR($H78=0,$N78=""),"",IF($I78&gt;$J78,1,IF($I78=$J78,0.5,0)))</f>
        <v/>
      </c>
      <c r="P78" s="14">
        <f>IF($O78="","",IF(ABS($I78-$J78)&lt;=1,1,IF(ABS($I78-$J78)=2,1.5,IF(ABS($I78-$J78)=3,1.75,1.75+(ABS($I78-$J78)-3)/8))))</f>
        <v/>
      </c>
      <c r="Q78" s="14">
        <f>IF($O78="",0,Equipos!$O$4*$P78*($O78-$N78))</f>
        <v/>
      </c>
      <c r="R78" s="12">
        <f>IF($K78="","",$K78+$Q78)</f>
        <v/>
      </c>
      <c r="S78" s="12">
        <f>IF($L78="","",$L78-$Q78)</f>
        <v/>
      </c>
      <c r="T78" s="14">
        <f>IF($M78="","",Equipos!$O$3*$M78)</f>
        <v/>
      </c>
      <c r="U78" s="14">
        <f>IFERROR(VLOOKUP($D78,Equipos!$A:$H,6,0),"")</f>
        <v/>
      </c>
      <c r="V78" s="14">
        <f>IFERROR(VLOOKUP($D78,Equipos!$A:$H,7,0),"")</f>
        <v/>
      </c>
      <c r="W78" s="14">
        <f>IFERROR(VLOOKUP($E78,Equipos!$A:$H,6,0),"")</f>
        <v/>
      </c>
      <c r="X78" s="14">
        <f>IFERROR(VLOOKUP($E78,Equipos!$A:$H,7,0),"")</f>
        <v/>
      </c>
      <c r="Y78" s="14">
        <f>IF(OR($U78="",$W78=""),"",MIN(3.6,MAX(1.8,Equipos!$O$2*SQRT($U78*$W78*$V78*$X78))))</f>
        <v/>
      </c>
      <c r="Z78" s="14">
        <f>IF(OR($Y78="",$T78=""),"",MAX(0.2,($Y78+$T78)/2))</f>
        <v/>
      </c>
      <c r="AA78" s="14">
        <f>IF(OR($Y78="",$T78=""),"",MAX(0.2,($Y78-$T78)/2))</f>
        <v/>
      </c>
      <c r="AE78" s="15">
        <f>IF($D78=AE$1,$R78,IF($E78=AE$1,$S78,AE77))</f>
        <v/>
      </c>
      <c r="AF78" s="15">
        <f>IF($D78=AF$1,$R78,IF($E78=AF$1,$S78,AF77))</f>
        <v/>
      </c>
      <c r="AG78" s="15">
        <f>IF($D78=AG$1,$R78,IF($E78=AG$1,$S78,AG77))</f>
        <v/>
      </c>
      <c r="AH78" s="15">
        <f>IF($D78=AH$1,$R78,IF($E78=AH$1,$S78,AH77))</f>
        <v/>
      </c>
      <c r="AI78" s="15">
        <f>IF($D78=AI$1,$R78,IF($E78=AI$1,$S78,AI77))</f>
        <v/>
      </c>
      <c r="AJ78" s="15">
        <f>IF($D78=AJ$1,$R78,IF($E78=AJ$1,$S78,AJ77))</f>
        <v/>
      </c>
      <c r="AK78" s="15">
        <f>IF($D78=AK$1,$R78,IF($E78=AK$1,$S78,AK77))</f>
        <v/>
      </c>
      <c r="AL78" s="15">
        <f>IF($D78=AL$1,$R78,IF($E78=AL$1,$S78,AL77))</f>
        <v/>
      </c>
      <c r="AM78" s="15">
        <f>IF($D78=AM$1,$R78,IF($E78=AM$1,$S78,AM77))</f>
        <v/>
      </c>
      <c r="AN78" s="15">
        <f>IF($D78=AN$1,$R78,IF($E78=AN$1,$S78,AN77))</f>
        <v/>
      </c>
      <c r="AO78" s="15">
        <f>IF($D78=AO$1,$R78,IF($E78=AO$1,$S78,AO77))</f>
        <v/>
      </c>
      <c r="AP78" s="15">
        <f>IF($D78=AP$1,$R78,IF($E78=AP$1,$S78,AP77))</f>
        <v/>
      </c>
      <c r="AQ78" s="15">
        <f>IF($D78=AQ$1,$R78,IF($E78=AQ$1,$S78,AQ77))</f>
        <v/>
      </c>
      <c r="AR78" s="15">
        <f>IF($D78=AR$1,$R78,IF($E78=AR$1,$S78,AR77))</f>
        <v/>
      </c>
      <c r="AS78" s="15">
        <f>IF($D78=AS$1,$R78,IF($E78=AS$1,$S78,AS77))</f>
        <v/>
      </c>
      <c r="AT78" s="15">
        <f>IF($D78=AT$1,$R78,IF($E78=AT$1,$S78,AT77))</f>
        <v/>
      </c>
      <c r="AU78" s="15">
        <f>IF($D78=AU$1,$R78,IF($E78=AU$1,$S78,AU77))</f>
        <v/>
      </c>
      <c r="AV78" s="15">
        <f>IF($D78=AV$1,$R78,IF($E78=AV$1,$S78,AV77))</f>
        <v/>
      </c>
      <c r="AW78" s="15">
        <f>IF($D78=AW$1,$R78,IF($E78=AW$1,$S78,AW77))</f>
        <v/>
      </c>
      <c r="AX78" s="15">
        <f>IF($D78=AX$1,$R78,IF($E78=AX$1,$S78,AX77))</f>
        <v/>
      </c>
      <c r="AY78" s="15">
        <f>IF($D78=AY$1,$R78,IF($E78=AY$1,$S78,AY77))</f>
        <v/>
      </c>
      <c r="AZ78" s="15">
        <f>IF($D78=AZ$1,$R78,IF($E78=AZ$1,$S78,AZ77))</f>
        <v/>
      </c>
      <c r="BA78" s="15">
        <f>IF($D78=BA$1,$R78,IF($E78=BA$1,$S78,BA77))</f>
        <v/>
      </c>
      <c r="BB78" s="15">
        <f>IF($D78=BB$1,$R78,IF($E78=BB$1,$S78,BB77))</f>
        <v/>
      </c>
      <c r="BC78" s="15">
        <f>IF($D78=BC$1,$R78,IF($E78=BC$1,$S78,BC77))</f>
        <v/>
      </c>
      <c r="BD78" s="15">
        <f>IF($D78=BD$1,$R78,IF($E78=BD$1,$S78,BD77))</f>
        <v/>
      </c>
      <c r="BE78" s="15">
        <f>IF($D78=BE$1,$R78,IF($E78=BE$1,$S78,BE77))</f>
        <v/>
      </c>
      <c r="BF78" s="15">
        <f>IF($D78=BF$1,$R78,IF($E78=BF$1,$S78,BF77))</f>
        <v/>
      </c>
      <c r="BG78" s="15">
        <f>IF($D78=BG$1,$R78,IF($E78=BG$1,$S78,BG77))</f>
        <v/>
      </c>
      <c r="BH78" s="15">
        <f>IF($D78=BH$1,$R78,IF($E78=BH$1,$S78,BH77))</f>
        <v/>
      </c>
      <c r="BI78" s="15">
        <f>IF($D78=BI$1,$R78,IF($E78=BI$1,$S78,BI77))</f>
        <v/>
      </c>
      <c r="BJ78" s="15">
        <f>IF($D78=BJ$1,$R78,IF($E78=BJ$1,$S78,BJ77))</f>
        <v/>
      </c>
      <c r="BK78" s="15">
        <f>IF($D78=BK$1,$R78,IF($E78=BK$1,$S78,BK77))</f>
        <v/>
      </c>
      <c r="BL78" s="15">
        <f>IF($D78=BL$1,$R78,IF($E78=BL$1,$S78,BL77))</f>
        <v/>
      </c>
      <c r="BM78" s="15">
        <f>IF($D78=BM$1,$R78,IF($E78=BM$1,$S78,BM77))</f>
        <v/>
      </c>
      <c r="BN78" s="15">
        <f>IF($D78=BN$1,$R78,IF($E78=BN$1,$S78,BN77))</f>
        <v/>
      </c>
      <c r="BO78" s="15">
        <f>IF($D78=BO$1,$R78,IF($E78=BO$1,$S78,BO77))</f>
        <v/>
      </c>
      <c r="BP78" s="15">
        <f>IF($D78=BP$1,$R78,IF($E78=BP$1,$S78,BP77))</f>
        <v/>
      </c>
      <c r="BQ78" s="15">
        <f>IF($D78=BQ$1,$R78,IF($E78=BQ$1,$S78,BQ77))</f>
        <v/>
      </c>
      <c r="BR78" s="15">
        <f>IF($D78=BR$1,$R78,IF($E78=BR$1,$S78,BR77))</f>
        <v/>
      </c>
      <c r="BS78" s="15">
        <f>IF($D78=BS$1,$R78,IF($E78=BS$1,$S78,BS77))</f>
        <v/>
      </c>
      <c r="BT78" s="15">
        <f>IF($D78=BT$1,$R78,IF($E78=BT$1,$S78,BT77))</f>
        <v/>
      </c>
      <c r="BU78" s="15">
        <f>IF($D78=BU$1,$R78,IF($E78=BU$1,$S78,BU77))</f>
        <v/>
      </c>
      <c r="BV78" s="15">
        <f>IF($D78=BV$1,$R78,IF($E78=BV$1,$S78,BV77))</f>
        <v/>
      </c>
      <c r="BW78" s="15">
        <f>IF($D78=BW$1,$R78,IF($E78=BW$1,$S78,BW77))</f>
        <v/>
      </c>
      <c r="BX78" s="15">
        <f>IF($D78=BX$1,$R78,IF($E78=BX$1,$S78,BX77))</f>
        <v/>
      </c>
      <c r="BY78" s="15">
        <f>IF($D78=BY$1,$R78,IF($E78=BY$1,$S78,BY77))</f>
        <v/>
      </c>
      <c r="BZ78" s="15">
        <f>IF($D78=BZ$1,$R78,IF($E78=BZ$1,$S78,BZ77))</f>
        <v/>
      </c>
    </row>
    <row r="79" ht="15" customHeight="1">
      <c r="A79" s="7">
        <f>Fixture!A78</f>
        <v/>
      </c>
      <c r="B79" s="7">
        <f>Fixture!B78</f>
        <v/>
      </c>
      <c r="C79" s="7">
        <f>Fixture!C78</f>
        <v/>
      </c>
      <c r="D79" s="7">
        <f>Fixture!E78</f>
        <v/>
      </c>
      <c r="E79" s="7">
        <f>Fixture!F78</f>
        <v/>
      </c>
      <c r="F79" s="7">
        <f>Fixture!J78</f>
        <v/>
      </c>
      <c r="G79" s="7">
        <f>Fixture!K78</f>
        <v/>
      </c>
      <c r="H79" s="7">
        <f>IF(ISNUMBER(Resultados!B78),1,0)</f>
        <v/>
      </c>
      <c r="I79" s="7">
        <f>IF($H79=1,Resultados!B78,0)</f>
        <v/>
      </c>
      <c r="J79" s="7">
        <f>IF($H79=1,Resultados!C78,0)</f>
        <v/>
      </c>
      <c r="K79" s="12">
        <f>IFERROR(INDEX($AE78:$BZ78,MATCH($D79,$AE$1:$BZ$1,0)),"")</f>
        <v/>
      </c>
      <c r="L79" s="12">
        <f>IFERROR(INDEX($AE78:$BZ78,MATCH($E79,$AE$1:$BZ$1,0)),"")</f>
        <v/>
      </c>
      <c r="M79" s="12">
        <f>IF(OR($K79="",$L79=""),"",($K79+100*$F79)-($L79+100*$G79))</f>
        <v/>
      </c>
      <c r="N79" s="13">
        <f>IF($M79="","",1/(1+10^(-$M79/400)))</f>
        <v/>
      </c>
      <c r="O79" s="7">
        <f>IF(OR($H79=0,$N79=""),"",IF($I79&gt;$J79,1,IF($I79=$J79,0.5,0)))</f>
        <v/>
      </c>
      <c r="P79" s="14">
        <f>IF($O79="","",IF(ABS($I79-$J79)&lt;=1,1,IF(ABS($I79-$J79)=2,1.5,IF(ABS($I79-$J79)=3,1.75,1.75+(ABS($I79-$J79)-3)/8))))</f>
        <v/>
      </c>
      <c r="Q79" s="14">
        <f>IF($O79="",0,Equipos!$O$4*$P79*($O79-$N79))</f>
        <v/>
      </c>
      <c r="R79" s="12">
        <f>IF($K79="","",$K79+$Q79)</f>
        <v/>
      </c>
      <c r="S79" s="12">
        <f>IF($L79="","",$L79-$Q79)</f>
        <v/>
      </c>
      <c r="T79" s="14">
        <f>IF($M79="","",Equipos!$O$3*$M79)</f>
        <v/>
      </c>
      <c r="U79" s="14">
        <f>IFERROR(VLOOKUP($D79,Equipos!$A:$H,6,0),"")</f>
        <v/>
      </c>
      <c r="V79" s="14">
        <f>IFERROR(VLOOKUP($D79,Equipos!$A:$H,7,0),"")</f>
        <v/>
      </c>
      <c r="W79" s="14">
        <f>IFERROR(VLOOKUP($E79,Equipos!$A:$H,6,0),"")</f>
        <v/>
      </c>
      <c r="X79" s="14">
        <f>IFERROR(VLOOKUP($E79,Equipos!$A:$H,7,0),"")</f>
        <v/>
      </c>
      <c r="Y79" s="14">
        <f>IF(OR($U79="",$W79=""),"",MIN(3.6,MAX(1.8,Equipos!$O$2*SQRT($U79*$W79*$V79*$X79))))</f>
        <v/>
      </c>
      <c r="Z79" s="14">
        <f>IF(OR($Y79="",$T79=""),"",MAX(0.2,($Y79+$T79)/2))</f>
        <v/>
      </c>
      <c r="AA79" s="14">
        <f>IF(OR($Y79="",$T79=""),"",MAX(0.2,($Y79-$T79)/2))</f>
        <v/>
      </c>
      <c r="AE79" s="15">
        <f>IF($D79=AE$1,$R79,IF($E79=AE$1,$S79,AE78))</f>
        <v/>
      </c>
      <c r="AF79" s="15">
        <f>IF($D79=AF$1,$R79,IF($E79=AF$1,$S79,AF78))</f>
        <v/>
      </c>
      <c r="AG79" s="15">
        <f>IF($D79=AG$1,$R79,IF($E79=AG$1,$S79,AG78))</f>
        <v/>
      </c>
      <c r="AH79" s="15">
        <f>IF($D79=AH$1,$R79,IF($E79=AH$1,$S79,AH78))</f>
        <v/>
      </c>
      <c r="AI79" s="15">
        <f>IF($D79=AI$1,$R79,IF($E79=AI$1,$S79,AI78))</f>
        <v/>
      </c>
      <c r="AJ79" s="15">
        <f>IF($D79=AJ$1,$R79,IF($E79=AJ$1,$S79,AJ78))</f>
        <v/>
      </c>
      <c r="AK79" s="15">
        <f>IF($D79=AK$1,$R79,IF($E79=AK$1,$S79,AK78))</f>
        <v/>
      </c>
      <c r="AL79" s="15">
        <f>IF($D79=AL$1,$R79,IF($E79=AL$1,$S79,AL78))</f>
        <v/>
      </c>
      <c r="AM79" s="15">
        <f>IF($D79=AM$1,$R79,IF($E79=AM$1,$S79,AM78))</f>
        <v/>
      </c>
      <c r="AN79" s="15">
        <f>IF($D79=AN$1,$R79,IF($E79=AN$1,$S79,AN78))</f>
        <v/>
      </c>
      <c r="AO79" s="15">
        <f>IF($D79=AO$1,$R79,IF($E79=AO$1,$S79,AO78))</f>
        <v/>
      </c>
      <c r="AP79" s="15">
        <f>IF($D79=AP$1,$R79,IF($E79=AP$1,$S79,AP78))</f>
        <v/>
      </c>
      <c r="AQ79" s="15">
        <f>IF($D79=AQ$1,$R79,IF($E79=AQ$1,$S79,AQ78))</f>
        <v/>
      </c>
      <c r="AR79" s="15">
        <f>IF($D79=AR$1,$R79,IF($E79=AR$1,$S79,AR78))</f>
        <v/>
      </c>
      <c r="AS79" s="15">
        <f>IF($D79=AS$1,$R79,IF($E79=AS$1,$S79,AS78))</f>
        <v/>
      </c>
      <c r="AT79" s="15">
        <f>IF($D79=AT$1,$R79,IF($E79=AT$1,$S79,AT78))</f>
        <v/>
      </c>
      <c r="AU79" s="15">
        <f>IF($D79=AU$1,$R79,IF($E79=AU$1,$S79,AU78))</f>
        <v/>
      </c>
      <c r="AV79" s="15">
        <f>IF($D79=AV$1,$R79,IF($E79=AV$1,$S79,AV78))</f>
        <v/>
      </c>
      <c r="AW79" s="15">
        <f>IF($D79=AW$1,$R79,IF($E79=AW$1,$S79,AW78))</f>
        <v/>
      </c>
      <c r="AX79" s="15">
        <f>IF($D79=AX$1,$R79,IF($E79=AX$1,$S79,AX78))</f>
        <v/>
      </c>
      <c r="AY79" s="15">
        <f>IF($D79=AY$1,$R79,IF($E79=AY$1,$S79,AY78))</f>
        <v/>
      </c>
      <c r="AZ79" s="15">
        <f>IF($D79=AZ$1,$R79,IF($E79=AZ$1,$S79,AZ78))</f>
        <v/>
      </c>
      <c r="BA79" s="15">
        <f>IF($D79=BA$1,$R79,IF($E79=BA$1,$S79,BA78))</f>
        <v/>
      </c>
      <c r="BB79" s="15">
        <f>IF($D79=BB$1,$R79,IF($E79=BB$1,$S79,BB78))</f>
        <v/>
      </c>
      <c r="BC79" s="15">
        <f>IF($D79=BC$1,$R79,IF($E79=BC$1,$S79,BC78))</f>
        <v/>
      </c>
      <c r="BD79" s="15">
        <f>IF($D79=BD$1,$R79,IF($E79=BD$1,$S79,BD78))</f>
        <v/>
      </c>
      <c r="BE79" s="15">
        <f>IF($D79=BE$1,$R79,IF($E79=BE$1,$S79,BE78))</f>
        <v/>
      </c>
      <c r="BF79" s="15">
        <f>IF($D79=BF$1,$R79,IF($E79=BF$1,$S79,BF78))</f>
        <v/>
      </c>
      <c r="BG79" s="15">
        <f>IF($D79=BG$1,$R79,IF($E79=BG$1,$S79,BG78))</f>
        <v/>
      </c>
      <c r="BH79" s="15">
        <f>IF($D79=BH$1,$R79,IF($E79=BH$1,$S79,BH78))</f>
        <v/>
      </c>
      <c r="BI79" s="15">
        <f>IF($D79=BI$1,$R79,IF($E79=BI$1,$S79,BI78))</f>
        <v/>
      </c>
      <c r="BJ79" s="15">
        <f>IF($D79=BJ$1,$R79,IF($E79=BJ$1,$S79,BJ78))</f>
        <v/>
      </c>
      <c r="BK79" s="15">
        <f>IF($D79=BK$1,$R79,IF($E79=BK$1,$S79,BK78))</f>
        <v/>
      </c>
      <c r="BL79" s="15">
        <f>IF($D79=BL$1,$R79,IF($E79=BL$1,$S79,BL78))</f>
        <v/>
      </c>
      <c r="BM79" s="15">
        <f>IF($D79=BM$1,$R79,IF($E79=BM$1,$S79,BM78))</f>
        <v/>
      </c>
      <c r="BN79" s="15">
        <f>IF($D79=BN$1,$R79,IF($E79=BN$1,$S79,BN78))</f>
        <v/>
      </c>
      <c r="BO79" s="15">
        <f>IF($D79=BO$1,$R79,IF($E79=BO$1,$S79,BO78))</f>
        <v/>
      </c>
      <c r="BP79" s="15">
        <f>IF($D79=BP$1,$R79,IF($E79=BP$1,$S79,BP78))</f>
        <v/>
      </c>
      <c r="BQ79" s="15">
        <f>IF($D79=BQ$1,$R79,IF($E79=BQ$1,$S79,BQ78))</f>
        <v/>
      </c>
      <c r="BR79" s="15">
        <f>IF($D79=BR$1,$R79,IF($E79=BR$1,$S79,BR78))</f>
        <v/>
      </c>
      <c r="BS79" s="15">
        <f>IF($D79=BS$1,$R79,IF($E79=BS$1,$S79,BS78))</f>
        <v/>
      </c>
      <c r="BT79" s="15">
        <f>IF($D79=BT$1,$R79,IF($E79=BT$1,$S79,BT78))</f>
        <v/>
      </c>
      <c r="BU79" s="15">
        <f>IF($D79=BU$1,$R79,IF($E79=BU$1,$S79,BU78))</f>
        <v/>
      </c>
      <c r="BV79" s="15">
        <f>IF($D79=BV$1,$R79,IF($E79=BV$1,$S79,BV78))</f>
        <v/>
      </c>
      <c r="BW79" s="15">
        <f>IF($D79=BW$1,$R79,IF($E79=BW$1,$S79,BW78))</f>
        <v/>
      </c>
      <c r="BX79" s="15">
        <f>IF($D79=BX$1,$R79,IF($E79=BX$1,$S79,BX78))</f>
        <v/>
      </c>
      <c r="BY79" s="15">
        <f>IF($D79=BY$1,$R79,IF($E79=BY$1,$S79,BY78))</f>
        <v/>
      </c>
      <c r="BZ79" s="15">
        <f>IF($D79=BZ$1,$R79,IF($E79=BZ$1,$S79,BZ78))</f>
        <v/>
      </c>
    </row>
    <row r="80" ht="15" customHeight="1">
      <c r="A80" s="7">
        <f>Fixture!A79</f>
        <v/>
      </c>
      <c r="B80" s="7">
        <f>Fixture!B79</f>
        <v/>
      </c>
      <c r="C80" s="7">
        <f>Fixture!C79</f>
        <v/>
      </c>
      <c r="D80" s="7">
        <f>Fixture!E79</f>
        <v/>
      </c>
      <c r="E80" s="7">
        <f>Fixture!F79</f>
        <v/>
      </c>
      <c r="F80" s="7">
        <f>Fixture!J79</f>
        <v/>
      </c>
      <c r="G80" s="7">
        <f>Fixture!K79</f>
        <v/>
      </c>
      <c r="H80" s="7">
        <f>IF(ISNUMBER(Resultados!B79),1,0)</f>
        <v/>
      </c>
      <c r="I80" s="7">
        <f>IF($H80=1,Resultados!B79,0)</f>
        <v/>
      </c>
      <c r="J80" s="7">
        <f>IF($H80=1,Resultados!C79,0)</f>
        <v/>
      </c>
      <c r="K80" s="12">
        <f>IFERROR(INDEX($AE79:$BZ79,MATCH($D80,$AE$1:$BZ$1,0)),"")</f>
        <v/>
      </c>
      <c r="L80" s="12">
        <f>IFERROR(INDEX($AE79:$BZ79,MATCH($E80,$AE$1:$BZ$1,0)),"")</f>
        <v/>
      </c>
      <c r="M80" s="12">
        <f>IF(OR($K80="",$L80=""),"",($K80+100*$F80)-($L80+100*$G80))</f>
        <v/>
      </c>
      <c r="N80" s="13">
        <f>IF($M80="","",1/(1+10^(-$M80/400)))</f>
        <v/>
      </c>
      <c r="O80" s="7">
        <f>IF(OR($H80=0,$N80=""),"",IF($I80&gt;$J80,1,IF($I80=$J80,0.5,0)))</f>
        <v/>
      </c>
      <c r="P80" s="14">
        <f>IF($O80="","",IF(ABS($I80-$J80)&lt;=1,1,IF(ABS($I80-$J80)=2,1.5,IF(ABS($I80-$J80)=3,1.75,1.75+(ABS($I80-$J80)-3)/8))))</f>
        <v/>
      </c>
      <c r="Q80" s="14">
        <f>IF($O80="",0,Equipos!$O$4*$P80*($O80-$N80))</f>
        <v/>
      </c>
      <c r="R80" s="12">
        <f>IF($K80="","",$K80+$Q80)</f>
        <v/>
      </c>
      <c r="S80" s="12">
        <f>IF($L80="","",$L80-$Q80)</f>
        <v/>
      </c>
      <c r="T80" s="14">
        <f>IF($M80="","",Equipos!$O$3*$M80)</f>
        <v/>
      </c>
      <c r="U80" s="14">
        <f>IFERROR(VLOOKUP($D80,Equipos!$A:$H,6,0),"")</f>
        <v/>
      </c>
      <c r="V80" s="14">
        <f>IFERROR(VLOOKUP($D80,Equipos!$A:$H,7,0),"")</f>
        <v/>
      </c>
      <c r="W80" s="14">
        <f>IFERROR(VLOOKUP($E80,Equipos!$A:$H,6,0),"")</f>
        <v/>
      </c>
      <c r="X80" s="14">
        <f>IFERROR(VLOOKUP($E80,Equipos!$A:$H,7,0),"")</f>
        <v/>
      </c>
      <c r="Y80" s="14">
        <f>IF(OR($U80="",$W80=""),"",MIN(3.6,MAX(1.8,Equipos!$O$2*SQRT($U80*$W80*$V80*$X80))))</f>
        <v/>
      </c>
      <c r="Z80" s="14">
        <f>IF(OR($Y80="",$T80=""),"",MAX(0.2,($Y80+$T80)/2))</f>
        <v/>
      </c>
      <c r="AA80" s="14">
        <f>IF(OR($Y80="",$T80=""),"",MAX(0.2,($Y80-$T80)/2))</f>
        <v/>
      </c>
      <c r="AE80" s="15">
        <f>IF($D80=AE$1,$R80,IF($E80=AE$1,$S80,AE79))</f>
        <v/>
      </c>
      <c r="AF80" s="15">
        <f>IF($D80=AF$1,$R80,IF($E80=AF$1,$S80,AF79))</f>
        <v/>
      </c>
      <c r="AG80" s="15">
        <f>IF($D80=AG$1,$R80,IF($E80=AG$1,$S80,AG79))</f>
        <v/>
      </c>
      <c r="AH80" s="15">
        <f>IF($D80=AH$1,$R80,IF($E80=AH$1,$S80,AH79))</f>
        <v/>
      </c>
      <c r="AI80" s="15">
        <f>IF($D80=AI$1,$R80,IF($E80=AI$1,$S80,AI79))</f>
        <v/>
      </c>
      <c r="AJ80" s="15">
        <f>IF($D80=AJ$1,$R80,IF($E80=AJ$1,$S80,AJ79))</f>
        <v/>
      </c>
      <c r="AK80" s="15">
        <f>IF($D80=AK$1,$R80,IF($E80=AK$1,$S80,AK79))</f>
        <v/>
      </c>
      <c r="AL80" s="15">
        <f>IF($D80=AL$1,$R80,IF($E80=AL$1,$S80,AL79))</f>
        <v/>
      </c>
      <c r="AM80" s="15">
        <f>IF($D80=AM$1,$R80,IF($E80=AM$1,$S80,AM79))</f>
        <v/>
      </c>
      <c r="AN80" s="15">
        <f>IF($D80=AN$1,$R80,IF($E80=AN$1,$S80,AN79))</f>
        <v/>
      </c>
      <c r="AO80" s="15">
        <f>IF($D80=AO$1,$R80,IF($E80=AO$1,$S80,AO79))</f>
        <v/>
      </c>
      <c r="AP80" s="15">
        <f>IF($D80=AP$1,$R80,IF($E80=AP$1,$S80,AP79))</f>
        <v/>
      </c>
      <c r="AQ80" s="15">
        <f>IF($D80=AQ$1,$R80,IF($E80=AQ$1,$S80,AQ79))</f>
        <v/>
      </c>
      <c r="AR80" s="15">
        <f>IF($D80=AR$1,$R80,IF($E80=AR$1,$S80,AR79))</f>
        <v/>
      </c>
      <c r="AS80" s="15">
        <f>IF($D80=AS$1,$R80,IF($E80=AS$1,$S80,AS79))</f>
        <v/>
      </c>
      <c r="AT80" s="15">
        <f>IF($D80=AT$1,$R80,IF($E80=AT$1,$S80,AT79))</f>
        <v/>
      </c>
      <c r="AU80" s="15">
        <f>IF($D80=AU$1,$R80,IF($E80=AU$1,$S80,AU79))</f>
        <v/>
      </c>
      <c r="AV80" s="15">
        <f>IF($D80=AV$1,$R80,IF($E80=AV$1,$S80,AV79))</f>
        <v/>
      </c>
      <c r="AW80" s="15">
        <f>IF($D80=AW$1,$R80,IF($E80=AW$1,$S80,AW79))</f>
        <v/>
      </c>
      <c r="AX80" s="15">
        <f>IF($D80=AX$1,$R80,IF($E80=AX$1,$S80,AX79))</f>
        <v/>
      </c>
      <c r="AY80" s="15">
        <f>IF($D80=AY$1,$R80,IF($E80=AY$1,$S80,AY79))</f>
        <v/>
      </c>
      <c r="AZ80" s="15">
        <f>IF($D80=AZ$1,$R80,IF($E80=AZ$1,$S80,AZ79))</f>
        <v/>
      </c>
      <c r="BA80" s="15">
        <f>IF($D80=BA$1,$R80,IF($E80=BA$1,$S80,BA79))</f>
        <v/>
      </c>
      <c r="BB80" s="15">
        <f>IF($D80=BB$1,$R80,IF($E80=BB$1,$S80,BB79))</f>
        <v/>
      </c>
      <c r="BC80" s="15">
        <f>IF($D80=BC$1,$R80,IF($E80=BC$1,$S80,BC79))</f>
        <v/>
      </c>
      <c r="BD80" s="15">
        <f>IF($D80=BD$1,$R80,IF($E80=BD$1,$S80,BD79))</f>
        <v/>
      </c>
      <c r="BE80" s="15">
        <f>IF($D80=BE$1,$R80,IF($E80=BE$1,$S80,BE79))</f>
        <v/>
      </c>
      <c r="BF80" s="15">
        <f>IF($D80=BF$1,$R80,IF($E80=BF$1,$S80,BF79))</f>
        <v/>
      </c>
      <c r="BG80" s="15">
        <f>IF($D80=BG$1,$R80,IF($E80=BG$1,$S80,BG79))</f>
        <v/>
      </c>
      <c r="BH80" s="15">
        <f>IF($D80=BH$1,$R80,IF($E80=BH$1,$S80,BH79))</f>
        <v/>
      </c>
      <c r="BI80" s="15">
        <f>IF($D80=BI$1,$R80,IF($E80=BI$1,$S80,BI79))</f>
        <v/>
      </c>
      <c r="BJ80" s="15">
        <f>IF($D80=BJ$1,$R80,IF($E80=BJ$1,$S80,BJ79))</f>
        <v/>
      </c>
      <c r="BK80" s="15">
        <f>IF($D80=BK$1,$R80,IF($E80=BK$1,$S80,BK79))</f>
        <v/>
      </c>
      <c r="BL80" s="15">
        <f>IF($D80=BL$1,$R80,IF($E80=BL$1,$S80,BL79))</f>
        <v/>
      </c>
      <c r="BM80" s="15">
        <f>IF($D80=BM$1,$R80,IF($E80=BM$1,$S80,BM79))</f>
        <v/>
      </c>
      <c r="BN80" s="15">
        <f>IF($D80=BN$1,$R80,IF($E80=BN$1,$S80,BN79))</f>
        <v/>
      </c>
      <c r="BO80" s="15">
        <f>IF($D80=BO$1,$R80,IF($E80=BO$1,$S80,BO79))</f>
        <v/>
      </c>
      <c r="BP80" s="15">
        <f>IF($D80=BP$1,$R80,IF($E80=BP$1,$S80,BP79))</f>
        <v/>
      </c>
      <c r="BQ80" s="15">
        <f>IF($D80=BQ$1,$R80,IF($E80=BQ$1,$S80,BQ79))</f>
        <v/>
      </c>
      <c r="BR80" s="15">
        <f>IF($D80=BR$1,$R80,IF($E80=BR$1,$S80,BR79))</f>
        <v/>
      </c>
      <c r="BS80" s="15">
        <f>IF($D80=BS$1,$R80,IF($E80=BS$1,$S80,BS79))</f>
        <v/>
      </c>
      <c r="BT80" s="15">
        <f>IF($D80=BT$1,$R80,IF($E80=BT$1,$S80,BT79))</f>
        <v/>
      </c>
      <c r="BU80" s="15">
        <f>IF($D80=BU$1,$R80,IF($E80=BU$1,$S80,BU79))</f>
        <v/>
      </c>
      <c r="BV80" s="15">
        <f>IF($D80=BV$1,$R80,IF($E80=BV$1,$S80,BV79))</f>
        <v/>
      </c>
      <c r="BW80" s="15">
        <f>IF($D80=BW$1,$R80,IF($E80=BW$1,$S80,BW79))</f>
        <v/>
      </c>
      <c r="BX80" s="15">
        <f>IF($D80=BX$1,$R80,IF($E80=BX$1,$S80,BX79))</f>
        <v/>
      </c>
      <c r="BY80" s="15">
        <f>IF($D80=BY$1,$R80,IF($E80=BY$1,$S80,BY79))</f>
        <v/>
      </c>
      <c r="BZ80" s="15">
        <f>IF($D80=BZ$1,$R80,IF($E80=BZ$1,$S80,BZ79))</f>
        <v/>
      </c>
    </row>
    <row r="81" ht="15" customHeight="1">
      <c r="A81" s="7">
        <f>Fixture!A80</f>
        <v/>
      </c>
      <c r="B81" s="7">
        <f>Fixture!B80</f>
        <v/>
      </c>
      <c r="C81" s="7">
        <f>Fixture!C80</f>
        <v/>
      </c>
      <c r="D81" s="7">
        <f>Fixture!E80</f>
        <v/>
      </c>
      <c r="E81" s="7">
        <f>Fixture!F80</f>
        <v/>
      </c>
      <c r="F81" s="7">
        <f>Fixture!J80</f>
        <v/>
      </c>
      <c r="G81" s="7">
        <f>Fixture!K80</f>
        <v/>
      </c>
      <c r="H81" s="7">
        <f>IF(ISNUMBER(Resultados!B80),1,0)</f>
        <v/>
      </c>
      <c r="I81" s="7">
        <f>IF($H81=1,Resultados!B80,0)</f>
        <v/>
      </c>
      <c r="J81" s="7">
        <f>IF($H81=1,Resultados!C80,0)</f>
        <v/>
      </c>
      <c r="K81" s="12">
        <f>IFERROR(INDEX($AE80:$BZ80,MATCH($D81,$AE$1:$BZ$1,0)),"")</f>
        <v/>
      </c>
      <c r="L81" s="12">
        <f>IFERROR(INDEX($AE80:$BZ80,MATCH($E81,$AE$1:$BZ$1,0)),"")</f>
        <v/>
      </c>
      <c r="M81" s="12">
        <f>IF(OR($K81="",$L81=""),"",($K81+100*$F81)-($L81+100*$G81))</f>
        <v/>
      </c>
      <c r="N81" s="13">
        <f>IF($M81="","",1/(1+10^(-$M81/400)))</f>
        <v/>
      </c>
      <c r="O81" s="7">
        <f>IF(OR($H81=0,$N81=""),"",IF($I81&gt;$J81,1,IF($I81=$J81,0.5,0)))</f>
        <v/>
      </c>
      <c r="P81" s="14">
        <f>IF($O81="","",IF(ABS($I81-$J81)&lt;=1,1,IF(ABS($I81-$J81)=2,1.5,IF(ABS($I81-$J81)=3,1.75,1.75+(ABS($I81-$J81)-3)/8))))</f>
        <v/>
      </c>
      <c r="Q81" s="14">
        <f>IF($O81="",0,Equipos!$O$4*$P81*($O81-$N81))</f>
        <v/>
      </c>
      <c r="R81" s="12">
        <f>IF($K81="","",$K81+$Q81)</f>
        <v/>
      </c>
      <c r="S81" s="12">
        <f>IF($L81="","",$L81-$Q81)</f>
        <v/>
      </c>
      <c r="T81" s="14">
        <f>IF($M81="","",Equipos!$O$3*$M81)</f>
        <v/>
      </c>
      <c r="U81" s="14">
        <f>IFERROR(VLOOKUP($D81,Equipos!$A:$H,6,0),"")</f>
        <v/>
      </c>
      <c r="V81" s="14">
        <f>IFERROR(VLOOKUP($D81,Equipos!$A:$H,7,0),"")</f>
        <v/>
      </c>
      <c r="W81" s="14">
        <f>IFERROR(VLOOKUP($E81,Equipos!$A:$H,6,0),"")</f>
        <v/>
      </c>
      <c r="X81" s="14">
        <f>IFERROR(VLOOKUP($E81,Equipos!$A:$H,7,0),"")</f>
        <v/>
      </c>
      <c r="Y81" s="14">
        <f>IF(OR($U81="",$W81=""),"",MIN(3.6,MAX(1.8,Equipos!$O$2*SQRT($U81*$W81*$V81*$X81))))</f>
        <v/>
      </c>
      <c r="Z81" s="14">
        <f>IF(OR($Y81="",$T81=""),"",MAX(0.2,($Y81+$T81)/2))</f>
        <v/>
      </c>
      <c r="AA81" s="14">
        <f>IF(OR($Y81="",$T81=""),"",MAX(0.2,($Y81-$T81)/2))</f>
        <v/>
      </c>
      <c r="AE81" s="15">
        <f>IF($D81=AE$1,$R81,IF($E81=AE$1,$S81,AE80))</f>
        <v/>
      </c>
      <c r="AF81" s="15">
        <f>IF($D81=AF$1,$R81,IF($E81=AF$1,$S81,AF80))</f>
        <v/>
      </c>
      <c r="AG81" s="15">
        <f>IF($D81=AG$1,$R81,IF($E81=AG$1,$S81,AG80))</f>
        <v/>
      </c>
      <c r="AH81" s="15">
        <f>IF($D81=AH$1,$R81,IF($E81=AH$1,$S81,AH80))</f>
        <v/>
      </c>
      <c r="AI81" s="15">
        <f>IF($D81=AI$1,$R81,IF($E81=AI$1,$S81,AI80))</f>
        <v/>
      </c>
      <c r="AJ81" s="15">
        <f>IF($D81=AJ$1,$R81,IF($E81=AJ$1,$S81,AJ80))</f>
        <v/>
      </c>
      <c r="AK81" s="15">
        <f>IF($D81=AK$1,$R81,IF($E81=AK$1,$S81,AK80))</f>
        <v/>
      </c>
      <c r="AL81" s="15">
        <f>IF($D81=AL$1,$R81,IF($E81=AL$1,$S81,AL80))</f>
        <v/>
      </c>
      <c r="AM81" s="15">
        <f>IF($D81=AM$1,$R81,IF($E81=AM$1,$S81,AM80))</f>
        <v/>
      </c>
      <c r="AN81" s="15">
        <f>IF($D81=AN$1,$R81,IF($E81=AN$1,$S81,AN80))</f>
        <v/>
      </c>
      <c r="AO81" s="15">
        <f>IF($D81=AO$1,$R81,IF($E81=AO$1,$S81,AO80))</f>
        <v/>
      </c>
      <c r="AP81" s="15">
        <f>IF($D81=AP$1,$R81,IF($E81=AP$1,$S81,AP80))</f>
        <v/>
      </c>
      <c r="AQ81" s="15">
        <f>IF($D81=AQ$1,$R81,IF($E81=AQ$1,$S81,AQ80))</f>
        <v/>
      </c>
      <c r="AR81" s="15">
        <f>IF($D81=AR$1,$R81,IF($E81=AR$1,$S81,AR80))</f>
        <v/>
      </c>
      <c r="AS81" s="15">
        <f>IF($D81=AS$1,$R81,IF($E81=AS$1,$S81,AS80))</f>
        <v/>
      </c>
      <c r="AT81" s="15">
        <f>IF($D81=AT$1,$R81,IF($E81=AT$1,$S81,AT80))</f>
        <v/>
      </c>
      <c r="AU81" s="15">
        <f>IF($D81=AU$1,$R81,IF($E81=AU$1,$S81,AU80))</f>
        <v/>
      </c>
      <c r="AV81" s="15">
        <f>IF($D81=AV$1,$R81,IF($E81=AV$1,$S81,AV80))</f>
        <v/>
      </c>
      <c r="AW81" s="15">
        <f>IF($D81=AW$1,$R81,IF($E81=AW$1,$S81,AW80))</f>
        <v/>
      </c>
      <c r="AX81" s="15">
        <f>IF($D81=AX$1,$R81,IF($E81=AX$1,$S81,AX80))</f>
        <v/>
      </c>
      <c r="AY81" s="15">
        <f>IF($D81=AY$1,$R81,IF($E81=AY$1,$S81,AY80))</f>
        <v/>
      </c>
      <c r="AZ81" s="15">
        <f>IF($D81=AZ$1,$R81,IF($E81=AZ$1,$S81,AZ80))</f>
        <v/>
      </c>
      <c r="BA81" s="15">
        <f>IF($D81=BA$1,$R81,IF($E81=BA$1,$S81,BA80))</f>
        <v/>
      </c>
      <c r="BB81" s="15">
        <f>IF($D81=BB$1,$R81,IF($E81=BB$1,$S81,BB80))</f>
        <v/>
      </c>
      <c r="BC81" s="15">
        <f>IF($D81=BC$1,$R81,IF($E81=BC$1,$S81,BC80))</f>
        <v/>
      </c>
      <c r="BD81" s="15">
        <f>IF($D81=BD$1,$R81,IF($E81=BD$1,$S81,BD80))</f>
        <v/>
      </c>
      <c r="BE81" s="15">
        <f>IF($D81=BE$1,$R81,IF($E81=BE$1,$S81,BE80))</f>
        <v/>
      </c>
      <c r="BF81" s="15">
        <f>IF($D81=BF$1,$R81,IF($E81=BF$1,$S81,BF80))</f>
        <v/>
      </c>
      <c r="BG81" s="15">
        <f>IF($D81=BG$1,$R81,IF($E81=BG$1,$S81,BG80))</f>
        <v/>
      </c>
      <c r="BH81" s="15">
        <f>IF($D81=BH$1,$R81,IF($E81=BH$1,$S81,BH80))</f>
        <v/>
      </c>
      <c r="BI81" s="15">
        <f>IF($D81=BI$1,$R81,IF($E81=BI$1,$S81,BI80))</f>
        <v/>
      </c>
      <c r="BJ81" s="15">
        <f>IF($D81=BJ$1,$R81,IF($E81=BJ$1,$S81,BJ80))</f>
        <v/>
      </c>
      <c r="BK81" s="15">
        <f>IF($D81=BK$1,$R81,IF($E81=BK$1,$S81,BK80))</f>
        <v/>
      </c>
      <c r="BL81" s="15">
        <f>IF($D81=BL$1,$R81,IF($E81=BL$1,$S81,BL80))</f>
        <v/>
      </c>
      <c r="BM81" s="15">
        <f>IF($D81=BM$1,$R81,IF($E81=BM$1,$S81,BM80))</f>
        <v/>
      </c>
      <c r="BN81" s="15">
        <f>IF($D81=BN$1,$R81,IF($E81=BN$1,$S81,BN80))</f>
        <v/>
      </c>
      <c r="BO81" s="15">
        <f>IF($D81=BO$1,$R81,IF($E81=BO$1,$S81,BO80))</f>
        <v/>
      </c>
      <c r="BP81" s="15">
        <f>IF($D81=BP$1,$R81,IF($E81=BP$1,$S81,BP80))</f>
        <v/>
      </c>
      <c r="BQ81" s="15">
        <f>IF($D81=BQ$1,$R81,IF($E81=BQ$1,$S81,BQ80))</f>
        <v/>
      </c>
      <c r="BR81" s="15">
        <f>IF($D81=BR$1,$R81,IF($E81=BR$1,$S81,BR80))</f>
        <v/>
      </c>
      <c r="BS81" s="15">
        <f>IF($D81=BS$1,$R81,IF($E81=BS$1,$S81,BS80))</f>
        <v/>
      </c>
      <c r="BT81" s="15">
        <f>IF($D81=BT$1,$R81,IF($E81=BT$1,$S81,BT80))</f>
        <v/>
      </c>
      <c r="BU81" s="15">
        <f>IF($D81=BU$1,$R81,IF($E81=BU$1,$S81,BU80))</f>
        <v/>
      </c>
      <c r="BV81" s="15">
        <f>IF($D81=BV$1,$R81,IF($E81=BV$1,$S81,BV80))</f>
        <v/>
      </c>
      <c r="BW81" s="15">
        <f>IF($D81=BW$1,$R81,IF($E81=BW$1,$S81,BW80))</f>
        <v/>
      </c>
      <c r="BX81" s="15">
        <f>IF($D81=BX$1,$R81,IF($E81=BX$1,$S81,BX80))</f>
        <v/>
      </c>
      <c r="BY81" s="15">
        <f>IF($D81=BY$1,$R81,IF($E81=BY$1,$S81,BY80))</f>
        <v/>
      </c>
      <c r="BZ81" s="15">
        <f>IF($D81=BZ$1,$R81,IF($E81=BZ$1,$S81,BZ80))</f>
        <v/>
      </c>
    </row>
    <row r="82" ht="15" customHeight="1">
      <c r="A82" s="7">
        <f>Fixture!A81</f>
        <v/>
      </c>
      <c r="B82" s="7">
        <f>Fixture!B81</f>
        <v/>
      </c>
      <c r="C82" s="7">
        <f>Fixture!C81</f>
        <v/>
      </c>
      <c r="D82" s="7">
        <f>Fixture!E81</f>
        <v/>
      </c>
      <c r="E82" s="7">
        <f>Fixture!F81</f>
        <v/>
      </c>
      <c r="F82" s="7">
        <f>Fixture!J81</f>
        <v/>
      </c>
      <c r="G82" s="7">
        <f>Fixture!K81</f>
        <v/>
      </c>
      <c r="H82" s="7">
        <f>IF(ISNUMBER(Resultados!B81),1,0)</f>
        <v/>
      </c>
      <c r="I82" s="7">
        <f>IF($H82=1,Resultados!B81,0)</f>
        <v/>
      </c>
      <c r="J82" s="7">
        <f>IF($H82=1,Resultados!C81,0)</f>
        <v/>
      </c>
      <c r="K82" s="12">
        <f>IFERROR(INDEX($AE81:$BZ81,MATCH($D82,$AE$1:$BZ$1,0)),"")</f>
        <v/>
      </c>
      <c r="L82" s="12">
        <f>IFERROR(INDEX($AE81:$BZ81,MATCH($E82,$AE$1:$BZ$1,0)),"")</f>
        <v/>
      </c>
      <c r="M82" s="12">
        <f>IF(OR($K82="",$L82=""),"",($K82+100*$F82)-($L82+100*$G82))</f>
        <v/>
      </c>
      <c r="N82" s="13">
        <f>IF($M82="","",1/(1+10^(-$M82/400)))</f>
        <v/>
      </c>
      <c r="O82" s="7">
        <f>IF(OR($H82=0,$N82=""),"",IF($I82&gt;$J82,1,IF($I82=$J82,0.5,0)))</f>
        <v/>
      </c>
      <c r="P82" s="14">
        <f>IF($O82="","",IF(ABS($I82-$J82)&lt;=1,1,IF(ABS($I82-$J82)=2,1.5,IF(ABS($I82-$J82)=3,1.75,1.75+(ABS($I82-$J82)-3)/8))))</f>
        <v/>
      </c>
      <c r="Q82" s="14">
        <f>IF($O82="",0,Equipos!$O$4*$P82*($O82-$N82))</f>
        <v/>
      </c>
      <c r="R82" s="12">
        <f>IF($K82="","",$K82+$Q82)</f>
        <v/>
      </c>
      <c r="S82" s="12">
        <f>IF($L82="","",$L82-$Q82)</f>
        <v/>
      </c>
      <c r="T82" s="14">
        <f>IF($M82="","",Equipos!$O$3*$M82)</f>
        <v/>
      </c>
      <c r="U82" s="14">
        <f>IFERROR(VLOOKUP($D82,Equipos!$A:$H,6,0),"")</f>
        <v/>
      </c>
      <c r="V82" s="14">
        <f>IFERROR(VLOOKUP($D82,Equipos!$A:$H,7,0),"")</f>
        <v/>
      </c>
      <c r="W82" s="14">
        <f>IFERROR(VLOOKUP($E82,Equipos!$A:$H,6,0),"")</f>
        <v/>
      </c>
      <c r="X82" s="14">
        <f>IFERROR(VLOOKUP($E82,Equipos!$A:$H,7,0),"")</f>
        <v/>
      </c>
      <c r="Y82" s="14">
        <f>IF(OR($U82="",$W82=""),"",MIN(3.6,MAX(1.8,Equipos!$O$2*SQRT($U82*$W82*$V82*$X82))))</f>
        <v/>
      </c>
      <c r="Z82" s="14">
        <f>IF(OR($Y82="",$T82=""),"",MAX(0.2,($Y82+$T82)/2))</f>
        <v/>
      </c>
      <c r="AA82" s="14">
        <f>IF(OR($Y82="",$T82=""),"",MAX(0.2,($Y82-$T82)/2))</f>
        <v/>
      </c>
      <c r="AE82" s="15">
        <f>IF($D82=AE$1,$R82,IF($E82=AE$1,$S82,AE81))</f>
        <v/>
      </c>
      <c r="AF82" s="15">
        <f>IF($D82=AF$1,$R82,IF($E82=AF$1,$S82,AF81))</f>
        <v/>
      </c>
      <c r="AG82" s="15">
        <f>IF($D82=AG$1,$R82,IF($E82=AG$1,$S82,AG81))</f>
        <v/>
      </c>
      <c r="AH82" s="15">
        <f>IF($D82=AH$1,$R82,IF($E82=AH$1,$S82,AH81))</f>
        <v/>
      </c>
      <c r="AI82" s="15">
        <f>IF($D82=AI$1,$R82,IF($E82=AI$1,$S82,AI81))</f>
        <v/>
      </c>
      <c r="AJ82" s="15">
        <f>IF($D82=AJ$1,$R82,IF($E82=AJ$1,$S82,AJ81))</f>
        <v/>
      </c>
      <c r="AK82" s="15">
        <f>IF($D82=AK$1,$R82,IF($E82=AK$1,$S82,AK81))</f>
        <v/>
      </c>
      <c r="AL82" s="15">
        <f>IF($D82=AL$1,$R82,IF($E82=AL$1,$S82,AL81))</f>
        <v/>
      </c>
      <c r="AM82" s="15">
        <f>IF($D82=AM$1,$R82,IF($E82=AM$1,$S82,AM81))</f>
        <v/>
      </c>
      <c r="AN82" s="15">
        <f>IF($D82=AN$1,$R82,IF($E82=AN$1,$S82,AN81))</f>
        <v/>
      </c>
      <c r="AO82" s="15">
        <f>IF($D82=AO$1,$R82,IF($E82=AO$1,$S82,AO81))</f>
        <v/>
      </c>
      <c r="AP82" s="15">
        <f>IF($D82=AP$1,$R82,IF($E82=AP$1,$S82,AP81))</f>
        <v/>
      </c>
      <c r="AQ82" s="15">
        <f>IF($D82=AQ$1,$R82,IF($E82=AQ$1,$S82,AQ81))</f>
        <v/>
      </c>
      <c r="AR82" s="15">
        <f>IF($D82=AR$1,$R82,IF($E82=AR$1,$S82,AR81))</f>
        <v/>
      </c>
      <c r="AS82" s="15">
        <f>IF($D82=AS$1,$R82,IF($E82=AS$1,$S82,AS81))</f>
        <v/>
      </c>
      <c r="AT82" s="15">
        <f>IF($D82=AT$1,$R82,IF($E82=AT$1,$S82,AT81))</f>
        <v/>
      </c>
      <c r="AU82" s="15">
        <f>IF($D82=AU$1,$R82,IF($E82=AU$1,$S82,AU81))</f>
        <v/>
      </c>
      <c r="AV82" s="15">
        <f>IF($D82=AV$1,$R82,IF($E82=AV$1,$S82,AV81))</f>
        <v/>
      </c>
      <c r="AW82" s="15">
        <f>IF($D82=AW$1,$R82,IF($E82=AW$1,$S82,AW81))</f>
        <v/>
      </c>
      <c r="AX82" s="15">
        <f>IF($D82=AX$1,$R82,IF($E82=AX$1,$S82,AX81))</f>
        <v/>
      </c>
      <c r="AY82" s="15">
        <f>IF($D82=AY$1,$R82,IF($E82=AY$1,$S82,AY81))</f>
        <v/>
      </c>
      <c r="AZ82" s="15">
        <f>IF($D82=AZ$1,$R82,IF($E82=AZ$1,$S82,AZ81))</f>
        <v/>
      </c>
      <c r="BA82" s="15">
        <f>IF($D82=BA$1,$R82,IF($E82=BA$1,$S82,BA81))</f>
        <v/>
      </c>
      <c r="BB82" s="15">
        <f>IF($D82=BB$1,$R82,IF($E82=BB$1,$S82,BB81))</f>
        <v/>
      </c>
      <c r="BC82" s="15">
        <f>IF($D82=BC$1,$R82,IF($E82=BC$1,$S82,BC81))</f>
        <v/>
      </c>
      <c r="BD82" s="15">
        <f>IF($D82=BD$1,$R82,IF($E82=BD$1,$S82,BD81))</f>
        <v/>
      </c>
      <c r="BE82" s="15">
        <f>IF($D82=BE$1,$R82,IF($E82=BE$1,$S82,BE81))</f>
        <v/>
      </c>
      <c r="BF82" s="15">
        <f>IF($D82=BF$1,$R82,IF($E82=BF$1,$S82,BF81))</f>
        <v/>
      </c>
      <c r="BG82" s="15">
        <f>IF($D82=BG$1,$R82,IF($E82=BG$1,$S82,BG81))</f>
        <v/>
      </c>
      <c r="BH82" s="15">
        <f>IF($D82=BH$1,$R82,IF($E82=BH$1,$S82,BH81))</f>
        <v/>
      </c>
      <c r="BI82" s="15">
        <f>IF($D82=BI$1,$R82,IF($E82=BI$1,$S82,BI81))</f>
        <v/>
      </c>
      <c r="BJ82" s="15">
        <f>IF($D82=BJ$1,$R82,IF($E82=BJ$1,$S82,BJ81))</f>
        <v/>
      </c>
      <c r="BK82" s="15">
        <f>IF($D82=BK$1,$R82,IF($E82=BK$1,$S82,BK81))</f>
        <v/>
      </c>
      <c r="BL82" s="15">
        <f>IF($D82=BL$1,$R82,IF($E82=BL$1,$S82,BL81))</f>
        <v/>
      </c>
      <c r="BM82" s="15">
        <f>IF($D82=BM$1,$R82,IF($E82=BM$1,$S82,BM81))</f>
        <v/>
      </c>
      <c r="BN82" s="15">
        <f>IF($D82=BN$1,$R82,IF($E82=BN$1,$S82,BN81))</f>
        <v/>
      </c>
      <c r="BO82" s="15">
        <f>IF($D82=BO$1,$R82,IF($E82=BO$1,$S82,BO81))</f>
        <v/>
      </c>
      <c r="BP82" s="15">
        <f>IF($D82=BP$1,$R82,IF($E82=BP$1,$S82,BP81))</f>
        <v/>
      </c>
      <c r="BQ82" s="15">
        <f>IF($D82=BQ$1,$R82,IF($E82=BQ$1,$S82,BQ81))</f>
        <v/>
      </c>
      <c r="BR82" s="15">
        <f>IF($D82=BR$1,$R82,IF($E82=BR$1,$S82,BR81))</f>
        <v/>
      </c>
      <c r="BS82" s="15">
        <f>IF($D82=BS$1,$R82,IF($E82=BS$1,$S82,BS81))</f>
        <v/>
      </c>
      <c r="BT82" s="15">
        <f>IF($D82=BT$1,$R82,IF($E82=BT$1,$S82,BT81))</f>
        <v/>
      </c>
      <c r="BU82" s="15">
        <f>IF($D82=BU$1,$R82,IF($E82=BU$1,$S82,BU81))</f>
        <v/>
      </c>
      <c r="BV82" s="15">
        <f>IF($D82=BV$1,$R82,IF($E82=BV$1,$S82,BV81))</f>
        <v/>
      </c>
      <c r="BW82" s="15">
        <f>IF($D82=BW$1,$R82,IF($E82=BW$1,$S82,BW81))</f>
        <v/>
      </c>
      <c r="BX82" s="15">
        <f>IF($D82=BX$1,$R82,IF($E82=BX$1,$S82,BX81))</f>
        <v/>
      </c>
      <c r="BY82" s="15">
        <f>IF($D82=BY$1,$R82,IF($E82=BY$1,$S82,BY81))</f>
        <v/>
      </c>
      <c r="BZ82" s="15">
        <f>IF($D82=BZ$1,$R82,IF($E82=BZ$1,$S82,BZ81))</f>
        <v/>
      </c>
    </row>
    <row r="83" ht="15" customHeight="1">
      <c r="A83" s="7">
        <f>Fixture!A82</f>
        <v/>
      </c>
      <c r="B83" s="7">
        <f>Fixture!B82</f>
        <v/>
      </c>
      <c r="C83" s="7">
        <f>Fixture!C82</f>
        <v/>
      </c>
      <c r="D83" s="7">
        <f>Fixture!E82</f>
        <v/>
      </c>
      <c r="E83" s="7">
        <f>Fixture!F82</f>
        <v/>
      </c>
      <c r="F83" s="7">
        <f>Fixture!J82</f>
        <v/>
      </c>
      <c r="G83" s="7">
        <f>Fixture!K82</f>
        <v/>
      </c>
      <c r="H83" s="7">
        <f>IF(ISNUMBER(Resultados!B82),1,0)</f>
        <v/>
      </c>
      <c r="I83" s="7">
        <f>IF($H83=1,Resultados!B82,0)</f>
        <v/>
      </c>
      <c r="J83" s="7">
        <f>IF($H83=1,Resultados!C82,0)</f>
        <v/>
      </c>
      <c r="K83" s="12">
        <f>IFERROR(INDEX($AE82:$BZ82,MATCH($D83,$AE$1:$BZ$1,0)),"")</f>
        <v/>
      </c>
      <c r="L83" s="12">
        <f>IFERROR(INDEX($AE82:$BZ82,MATCH($E83,$AE$1:$BZ$1,0)),"")</f>
        <v/>
      </c>
      <c r="M83" s="12">
        <f>IF(OR($K83="",$L83=""),"",($K83+100*$F83)-($L83+100*$G83))</f>
        <v/>
      </c>
      <c r="N83" s="13">
        <f>IF($M83="","",1/(1+10^(-$M83/400)))</f>
        <v/>
      </c>
      <c r="O83" s="7">
        <f>IF(OR($H83=0,$N83=""),"",IF($I83&gt;$J83,1,IF($I83=$J83,0.5,0)))</f>
        <v/>
      </c>
      <c r="P83" s="14">
        <f>IF($O83="","",IF(ABS($I83-$J83)&lt;=1,1,IF(ABS($I83-$J83)=2,1.5,IF(ABS($I83-$J83)=3,1.75,1.75+(ABS($I83-$J83)-3)/8))))</f>
        <v/>
      </c>
      <c r="Q83" s="14">
        <f>IF($O83="",0,Equipos!$O$4*$P83*($O83-$N83))</f>
        <v/>
      </c>
      <c r="R83" s="12">
        <f>IF($K83="","",$K83+$Q83)</f>
        <v/>
      </c>
      <c r="S83" s="12">
        <f>IF($L83="","",$L83-$Q83)</f>
        <v/>
      </c>
      <c r="T83" s="14">
        <f>IF($M83="","",Equipos!$O$3*$M83)</f>
        <v/>
      </c>
      <c r="U83" s="14">
        <f>IFERROR(VLOOKUP($D83,Equipos!$A:$H,6,0),"")</f>
        <v/>
      </c>
      <c r="V83" s="14">
        <f>IFERROR(VLOOKUP($D83,Equipos!$A:$H,7,0),"")</f>
        <v/>
      </c>
      <c r="W83" s="14">
        <f>IFERROR(VLOOKUP($E83,Equipos!$A:$H,6,0),"")</f>
        <v/>
      </c>
      <c r="X83" s="14">
        <f>IFERROR(VLOOKUP($E83,Equipos!$A:$H,7,0),"")</f>
        <v/>
      </c>
      <c r="Y83" s="14">
        <f>IF(OR($U83="",$W83=""),"",MIN(3.6,MAX(1.8,Equipos!$O$2*SQRT($U83*$W83*$V83*$X83))))</f>
        <v/>
      </c>
      <c r="Z83" s="14">
        <f>IF(OR($Y83="",$T83=""),"",MAX(0.2,($Y83+$T83)/2))</f>
        <v/>
      </c>
      <c r="AA83" s="14">
        <f>IF(OR($Y83="",$T83=""),"",MAX(0.2,($Y83-$T83)/2))</f>
        <v/>
      </c>
      <c r="AE83" s="15">
        <f>IF($D83=AE$1,$R83,IF($E83=AE$1,$S83,AE82))</f>
        <v/>
      </c>
      <c r="AF83" s="15">
        <f>IF($D83=AF$1,$R83,IF($E83=AF$1,$S83,AF82))</f>
        <v/>
      </c>
      <c r="AG83" s="15">
        <f>IF($D83=AG$1,$R83,IF($E83=AG$1,$S83,AG82))</f>
        <v/>
      </c>
      <c r="AH83" s="15">
        <f>IF($D83=AH$1,$R83,IF($E83=AH$1,$S83,AH82))</f>
        <v/>
      </c>
      <c r="AI83" s="15">
        <f>IF($D83=AI$1,$R83,IF($E83=AI$1,$S83,AI82))</f>
        <v/>
      </c>
      <c r="AJ83" s="15">
        <f>IF($D83=AJ$1,$R83,IF($E83=AJ$1,$S83,AJ82))</f>
        <v/>
      </c>
      <c r="AK83" s="15">
        <f>IF($D83=AK$1,$R83,IF($E83=AK$1,$S83,AK82))</f>
        <v/>
      </c>
      <c r="AL83" s="15">
        <f>IF($D83=AL$1,$R83,IF($E83=AL$1,$S83,AL82))</f>
        <v/>
      </c>
      <c r="AM83" s="15">
        <f>IF($D83=AM$1,$R83,IF($E83=AM$1,$S83,AM82))</f>
        <v/>
      </c>
      <c r="AN83" s="15">
        <f>IF($D83=AN$1,$R83,IF($E83=AN$1,$S83,AN82))</f>
        <v/>
      </c>
      <c r="AO83" s="15">
        <f>IF($D83=AO$1,$R83,IF($E83=AO$1,$S83,AO82))</f>
        <v/>
      </c>
      <c r="AP83" s="15">
        <f>IF($D83=AP$1,$R83,IF($E83=AP$1,$S83,AP82))</f>
        <v/>
      </c>
      <c r="AQ83" s="15">
        <f>IF($D83=AQ$1,$R83,IF($E83=AQ$1,$S83,AQ82))</f>
        <v/>
      </c>
      <c r="AR83" s="15">
        <f>IF($D83=AR$1,$R83,IF($E83=AR$1,$S83,AR82))</f>
        <v/>
      </c>
      <c r="AS83" s="15">
        <f>IF($D83=AS$1,$R83,IF($E83=AS$1,$S83,AS82))</f>
        <v/>
      </c>
      <c r="AT83" s="15">
        <f>IF($D83=AT$1,$R83,IF($E83=AT$1,$S83,AT82))</f>
        <v/>
      </c>
      <c r="AU83" s="15">
        <f>IF($D83=AU$1,$R83,IF($E83=AU$1,$S83,AU82))</f>
        <v/>
      </c>
      <c r="AV83" s="15">
        <f>IF($D83=AV$1,$R83,IF($E83=AV$1,$S83,AV82))</f>
        <v/>
      </c>
      <c r="AW83" s="15">
        <f>IF($D83=AW$1,$R83,IF($E83=AW$1,$S83,AW82))</f>
        <v/>
      </c>
      <c r="AX83" s="15">
        <f>IF($D83=AX$1,$R83,IF($E83=AX$1,$S83,AX82))</f>
        <v/>
      </c>
      <c r="AY83" s="15">
        <f>IF($D83=AY$1,$R83,IF($E83=AY$1,$S83,AY82))</f>
        <v/>
      </c>
      <c r="AZ83" s="15">
        <f>IF($D83=AZ$1,$R83,IF($E83=AZ$1,$S83,AZ82))</f>
        <v/>
      </c>
      <c r="BA83" s="15">
        <f>IF($D83=BA$1,$R83,IF($E83=BA$1,$S83,BA82))</f>
        <v/>
      </c>
      <c r="BB83" s="15">
        <f>IF($D83=BB$1,$R83,IF($E83=BB$1,$S83,BB82))</f>
        <v/>
      </c>
      <c r="BC83" s="15">
        <f>IF($D83=BC$1,$R83,IF($E83=BC$1,$S83,BC82))</f>
        <v/>
      </c>
      <c r="BD83" s="15">
        <f>IF($D83=BD$1,$R83,IF($E83=BD$1,$S83,BD82))</f>
        <v/>
      </c>
      <c r="BE83" s="15">
        <f>IF($D83=BE$1,$R83,IF($E83=BE$1,$S83,BE82))</f>
        <v/>
      </c>
      <c r="BF83" s="15">
        <f>IF($D83=BF$1,$R83,IF($E83=BF$1,$S83,BF82))</f>
        <v/>
      </c>
      <c r="BG83" s="15">
        <f>IF($D83=BG$1,$R83,IF($E83=BG$1,$S83,BG82))</f>
        <v/>
      </c>
      <c r="BH83" s="15">
        <f>IF($D83=BH$1,$R83,IF($E83=BH$1,$S83,BH82))</f>
        <v/>
      </c>
      <c r="BI83" s="15">
        <f>IF($D83=BI$1,$R83,IF($E83=BI$1,$S83,BI82))</f>
        <v/>
      </c>
      <c r="BJ83" s="15">
        <f>IF($D83=BJ$1,$R83,IF($E83=BJ$1,$S83,BJ82))</f>
        <v/>
      </c>
      <c r="BK83" s="15">
        <f>IF($D83=BK$1,$R83,IF($E83=BK$1,$S83,BK82))</f>
        <v/>
      </c>
      <c r="BL83" s="15">
        <f>IF($D83=BL$1,$R83,IF($E83=BL$1,$S83,BL82))</f>
        <v/>
      </c>
      <c r="BM83" s="15">
        <f>IF($D83=BM$1,$R83,IF($E83=BM$1,$S83,BM82))</f>
        <v/>
      </c>
      <c r="BN83" s="15">
        <f>IF($D83=BN$1,$R83,IF($E83=BN$1,$S83,BN82))</f>
        <v/>
      </c>
      <c r="BO83" s="15">
        <f>IF($D83=BO$1,$R83,IF($E83=BO$1,$S83,BO82))</f>
        <v/>
      </c>
      <c r="BP83" s="15">
        <f>IF($D83=BP$1,$R83,IF($E83=BP$1,$S83,BP82))</f>
        <v/>
      </c>
      <c r="BQ83" s="15">
        <f>IF($D83=BQ$1,$R83,IF($E83=BQ$1,$S83,BQ82))</f>
        <v/>
      </c>
      <c r="BR83" s="15">
        <f>IF($D83=BR$1,$R83,IF($E83=BR$1,$S83,BR82))</f>
        <v/>
      </c>
      <c r="BS83" s="15">
        <f>IF($D83=BS$1,$R83,IF($E83=BS$1,$S83,BS82))</f>
        <v/>
      </c>
      <c r="BT83" s="15">
        <f>IF($D83=BT$1,$R83,IF($E83=BT$1,$S83,BT82))</f>
        <v/>
      </c>
      <c r="BU83" s="15">
        <f>IF($D83=BU$1,$R83,IF($E83=BU$1,$S83,BU82))</f>
        <v/>
      </c>
      <c r="BV83" s="15">
        <f>IF($D83=BV$1,$R83,IF($E83=BV$1,$S83,BV82))</f>
        <v/>
      </c>
      <c r="BW83" s="15">
        <f>IF($D83=BW$1,$R83,IF($E83=BW$1,$S83,BW82))</f>
        <v/>
      </c>
      <c r="BX83" s="15">
        <f>IF($D83=BX$1,$R83,IF($E83=BX$1,$S83,BX82))</f>
        <v/>
      </c>
      <c r="BY83" s="15">
        <f>IF($D83=BY$1,$R83,IF($E83=BY$1,$S83,BY82))</f>
        <v/>
      </c>
      <c r="BZ83" s="15">
        <f>IF($D83=BZ$1,$R83,IF($E83=BZ$1,$S83,BZ82))</f>
        <v/>
      </c>
    </row>
    <row r="84" ht="15" customHeight="1">
      <c r="A84" s="7">
        <f>Fixture!A83</f>
        <v/>
      </c>
      <c r="B84" s="7">
        <f>Fixture!B83</f>
        <v/>
      </c>
      <c r="C84" s="7">
        <f>Fixture!C83</f>
        <v/>
      </c>
      <c r="D84" s="7">
        <f>Fixture!E83</f>
        <v/>
      </c>
      <c r="E84" s="7">
        <f>Fixture!F83</f>
        <v/>
      </c>
      <c r="F84" s="7">
        <f>Fixture!J83</f>
        <v/>
      </c>
      <c r="G84" s="7">
        <f>Fixture!K83</f>
        <v/>
      </c>
      <c r="H84" s="7">
        <f>IF(ISNUMBER(Resultados!B83),1,0)</f>
        <v/>
      </c>
      <c r="I84" s="7">
        <f>IF($H84=1,Resultados!B83,0)</f>
        <v/>
      </c>
      <c r="J84" s="7">
        <f>IF($H84=1,Resultados!C83,0)</f>
        <v/>
      </c>
      <c r="K84" s="12">
        <f>IFERROR(INDEX($AE83:$BZ83,MATCH($D84,$AE$1:$BZ$1,0)),"")</f>
        <v/>
      </c>
      <c r="L84" s="12">
        <f>IFERROR(INDEX($AE83:$BZ83,MATCH($E84,$AE$1:$BZ$1,0)),"")</f>
        <v/>
      </c>
      <c r="M84" s="12">
        <f>IF(OR($K84="",$L84=""),"",($K84+100*$F84)-($L84+100*$G84))</f>
        <v/>
      </c>
      <c r="N84" s="13">
        <f>IF($M84="","",1/(1+10^(-$M84/400)))</f>
        <v/>
      </c>
      <c r="O84" s="7">
        <f>IF(OR($H84=0,$N84=""),"",IF($I84&gt;$J84,1,IF($I84=$J84,0.5,0)))</f>
        <v/>
      </c>
      <c r="P84" s="14">
        <f>IF($O84="","",IF(ABS($I84-$J84)&lt;=1,1,IF(ABS($I84-$J84)=2,1.5,IF(ABS($I84-$J84)=3,1.75,1.75+(ABS($I84-$J84)-3)/8))))</f>
        <v/>
      </c>
      <c r="Q84" s="14">
        <f>IF($O84="",0,Equipos!$O$4*$P84*($O84-$N84))</f>
        <v/>
      </c>
      <c r="R84" s="12">
        <f>IF($K84="","",$K84+$Q84)</f>
        <v/>
      </c>
      <c r="S84" s="12">
        <f>IF($L84="","",$L84-$Q84)</f>
        <v/>
      </c>
      <c r="T84" s="14">
        <f>IF($M84="","",Equipos!$O$3*$M84)</f>
        <v/>
      </c>
      <c r="U84" s="14">
        <f>IFERROR(VLOOKUP($D84,Equipos!$A:$H,6,0),"")</f>
        <v/>
      </c>
      <c r="V84" s="14">
        <f>IFERROR(VLOOKUP($D84,Equipos!$A:$H,7,0),"")</f>
        <v/>
      </c>
      <c r="W84" s="14">
        <f>IFERROR(VLOOKUP($E84,Equipos!$A:$H,6,0),"")</f>
        <v/>
      </c>
      <c r="X84" s="14">
        <f>IFERROR(VLOOKUP($E84,Equipos!$A:$H,7,0),"")</f>
        <v/>
      </c>
      <c r="Y84" s="14">
        <f>IF(OR($U84="",$W84=""),"",MIN(3.6,MAX(1.8,Equipos!$O$2*SQRT($U84*$W84*$V84*$X84))))</f>
        <v/>
      </c>
      <c r="Z84" s="14">
        <f>IF(OR($Y84="",$T84=""),"",MAX(0.2,($Y84+$T84)/2))</f>
        <v/>
      </c>
      <c r="AA84" s="14">
        <f>IF(OR($Y84="",$T84=""),"",MAX(0.2,($Y84-$T84)/2))</f>
        <v/>
      </c>
      <c r="AE84" s="15">
        <f>IF($D84=AE$1,$R84,IF($E84=AE$1,$S84,AE83))</f>
        <v/>
      </c>
      <c r="AF84" s="15">
        <f>IF($D84=AF$1,$R84,IF($E84=AF$1,$S84,AF83))</f>
        <v/>
      </c>
      <c r="AG84" s="15">
        <f>IF($D84=AG$1,$R84,IF($E84=AG$1,$S84,AG83))</f>
        <v/>
      </c>
      <c r="AH84" s="15">
        <f>IF($D84=AH$1,$R84,IF($E84=AH$1,$S84,AH83))</f>
        <v/>
      </c>
      <c r="AI84" s="15">
        <f>IF($D84=AI$1,$R84,IF($E84=AI$1,$S84,AI83))</f>
        <v/>
      </c>
      <c r="AJ84" s="15">
        <f>IF($D84=AJ$1,$R84,IF($E84=AJ$1,$S84,AJ83))</f>
        <v/>
      </c>
      <c r="AK84" s="15">
        <f>IF($D84=AK$1,$R84,IF($E84=AK$1,$S84,AK83))</f>
        <v/>
      </c>
      <c r="AL84" s="15">
        <f>IF($D84=AL$1,$R84,IF($E84=AL$1,$S84,AL83))</f>
        <v/>
      </c>
      <c r="AM84" s="15">
        <f>IF($D84=AM$1,$R84,IF($E84=AM$1,$S84,AM83))</f>
        <v/>
      </c>
      <c r="AN84" s="15">
        <f>IF($D84=AN$1,$R84,IF($E84=AN$1,$S84,AN83))</f>
        <v/>
      </c>
      <c r="AO84" s="15">
        <f>IF($D84=AO$1,$R84,IF($E84=AO$1,$S84,AO83))</f>
        <v/>
      </c>
      <c r="AP84" s="15">
        <f>IF($D84=AP$1,$R84,IF($E84=AP$1,$S84,AP83))</f>
        <v/>
      </c>
      <c r="AQ84" s="15">
        <f>IF($D84=AQ$1,$R84,IF($E84=AQ$1,$S84,AQ83))</f>
        <v/>
      </c>
      <c r="AR84" s="15">
        <f>IF($D84=AR$1,$R84,IF($E84=AR$1,$S84,AR83))</f>
        <v/>
      </c>
      <c r="AS84" s="15">
        <f>IF($D84=AS$1,$R84,IF($E84=AS$1,$S84,AS83))</f>
        <v/>
      </c>
      <c r="AT84" s="15">
        <f>IF($D84=AT$1,$R84,IF($E84=AT$1,$S84,AT83))</f>
        <v/>
      </c>
      <c r="AU84" s="15">
        <f>IF($D84=AU$1,$R84,IF($E84=AU$1,$S84,AU83))</f>
        <v/>
      </c>
      <c r="AV84" s="15">
        <f>IF($D84=AV$1,$R84,IF($E84=AV$1,$S84,AV83))</f>
        <v/>
      </c>
      <c r="AW84" s="15">
        <f>IF($D84=AW$1,$R84,IF($E84=AW$1,$S84,AW83))</f>
        <v/>
      </c>
      <c r="AX84" s="15">
        <f>IF($D84=AX$1,$R84,IF($E84=AX$1,$S84,AX83))</f>
        <v/>
      </c>
      <c r="AY84" s="15">
        <f>IF($D84=AY$1,$R84,IF($E84=AY$1,$S84,AY83))</f>
        <v/>
      </c>
      <c r="AZ84" s="15">
        <f>IF($D84=AZ$1,$R84,IF($E84=AZ$1,$S84,AZ83))</f>
        <v/>
      </c>
      <c r="BA84" s="15">
        <f>IF($D84=BA$1,$R84,IF($E84=BA$1,$S84,BA83))</f>
        <v/>
      </c>
      <c r="BB84" s="15">
        <f>IF($D84=BB$1,$R84,IF($E84=BB$1,$S84,BB83))</f>
        <v/>
      </c>
      <c r="BC84" s="15">
        <f>IF($D84=BC$1,$R84,IF($E84=BC$1,$S84,BC83))</f>
        <v/>
      </c>
      <c r="BD84" s="15">
        <f>IF($D84=BD$1,$R84,IF($E84=BD$1,$S84,BD83))</f>
        <v/>
      </c>
      <c r="BE84" s="15">
        <f>IF($D84=BE$1,$R84,IF($E84=BE$1,$S84,BE83))</f>
        <v/>
      </c>
      <c r="BF84" s="15">
        <f>IF($D84=BF$1,$R84,IF($E84=BF$1,$S84,BF83))</f>
        <v/>
      </c>
      <c r="BG84" s="15">
        <f>IF($D84=BG$1,$R84,IF($E84=BG$1,$S84,BG83))</f>
        <v/>
      </c>
      <c r="BH84" s="15">
        <f>IF($D84=BH$1,$R84,IF($E84=BH$1,$S84,BH83))</f>
        <v/>
      </c>
      <c r="BI84" s="15">
        <f>IF($D84=BI$1,$R84,IF($E84=BI$1,$S84,BI83))</f>
        <v/>
      </c>
      <c r="BJ84" s="15">
        <f>IF($D84=BJ$1,$R84,IF($E84=BJ$1,$S84,BJ83))</f>
        <v/>
      </c>
      <c r="BK84" s="15">
        <f>IF($D84=BK$1,$R84,IF($E84=BK$1,$S84,BK83))</f>
        <v/>
      </c>
      <c r="BL84" s="15">
        <f>IF($D84=BL$1,$R84,IF($E84=BL$1,$S84,BL83))</f>
        <v/>
      </c>
      <c r="BM84" s="15">
        <f>IF($D84=BM$1,$R84,IF($E84=BM$1,$S84,BM83))</f>
        <v/>
      </c>
      <c r="BN84" s="15">
        <f>IF($D84=BN$1,$R84,IF($E84=BN$1,$S84,BN83))</f>
        <v/>
      </c>
      <c r="BO84" s="15">
        <f>IF($D84=BO$1,$R84,IF($E84=BO$1,$S84,BO83))</f>
        <v/>
      </c>
      <c r="BP84" s="15">
        <f>IF($D84=BP$1,$R84,IF($E84=BP$1,$S84,BP83))</f>
        <v/>
      </c>
      <c r="BQ84" s="15">
        <f>IF($D84=BQ$1,$R84,IF($E84=BQ$1,$S84,BQ83))</f>
        <v/>
      </c>
      <c r="BR84" s="15">
        <f>IF($D84=BR$1,$R84,IF($E84=BR$1,$S84,BR83))</f>
        <v/>
      </c>
      <c r="BS84" s="15">
        <f>IF($D84=BS$1,$R84,IF($E84=BS$1,$S84,BS83))</f>
        <v/>
      </c>
      <c r="BT84" s="15">
        <f>IF($D84=BT$1,$R84,IF($E84=BT$1,$S84,BT83))</f>
        <v/>
      </c>
      <c r="BU84" s="15">
        <f>IF($D84=BU$1,$R84,IF($E84=BU$1,$S84,BU83))</f>
        <v/>
      </c>
      <c r="BV84" s="15">
        <f>IF($D84=BV$1,$R84,IF($E84=BV$1,$S84,BV83))</f>
        <v/>
      </c>
      <c r="BW84" s="15">
        <f>IF($D84=BW$1,$R84,IF($E84=BW$1,$S84,BW83))</f>
        <v/>
      </c>
      <c r="BX84" s="15">
        <f>IF($D84=BX$1,$R84,IF($E84=BX$1,$S84,BX83))</f>
        <v/>
      </c>
      <c r="BY84" s="15">
        <f>IF($D84=BY$1,$R84,IF($E84=BY$1,$S84,BY83))</f>
        <v/>
      </c>
      <c r="BZ84" s="15">
        <f>IF($D84=BZ$1,$R84,IF($E84=BZ$1,$S84,BZ83))</f>
        <v/>
      </c>
    </row>
    <row r="85" ht="15" customHeight="1">
      <c r="A85" s="7">
        <f>Fixture!A84</f>
        <v/>
      </c>
      <c r="B85" s="7">
        <f>Fixture!B84</f>
        <v/>
      </c>
      <c r="C85" s="7">
        <f>Fixture!C84</f>
        <v/>
      </c>
      <c r="D85" s="7">
        <f>Fixture!E84</f>
        <v/>
      </c>
      <c r="E85" s="7">
        <f>Fixture!F84</f>
        <v/>
      </c>
      <c r="F85" s="7">
        <f>Fixture!J84</f>
        <v/>
      </c>
      <c r="G85" s="7">
        <f>Fixture!K84</f>
        <v/>
      </c>
      <c r="H85" s="7">
        <f>IF(ISNUMBER(Resultados!B84),1,0)</f>
        <v/>
      </c>
      <c r="I85" s="7">
        <f>IF($H85=1,Resultados!B84,0)</f>
        <v/>
      </c>
      <c r="J85" s="7">
        <f>IF($H85=1,Resultados!C84,0)</f>
        <v/>
      </c>
      <c r="K85" s="12">
        <f>IFERROR(INDEX($AE84:$BZ84,MATCH($D85,$AE$1:$BZ$1,0)),"")</f>
        <v/>
      </c>
      <c r="L85" s="12">
        <f>IFERROR(INDEX($AE84:$BZ84,MATCH($E85,$AE$1:$BZ$1,0)),"")</f>
        <v/>
      </c>
      <c r="M85" s="12">
        <f>IF(OR($K85="",$L85=""),"",($K85+100*$F85)-($L85+100*$G85))</f>
        <v/>
      </c>
      <c r="N85" s="13">
        <f>IF($M85="","",1/(1+10^(-$M85/400)))</f>
        <v/>
      </c>
      <c r="O85" s="7">
        <f>IF(OR($H85=0,$N85=""),"",IF($I85&gt;$J85,1,IF($I85=$J85,0.5,0)))</f>
        <v/>
      </c>
      <c r="P85" s="14">
        <f>IF($O85="","",IF(ABS($I85-$J85)&lt;=1,1,IF(ABS($I85-$J85)=2,1.5,IF(ABS($I85-$J85)=3,1.75,1.75+(ABS($I85-$J85)-3)/8))))</f>
        <v/>
      </c>
      <c r="Q85" s="14">
        <f>IF($O85="",0,Equipos!$O$4*$P85*($O85-$N85))</f>
        <v/>
      </c>
      <c r="R85" s="12">
        <f>IF($K85="","",$K85+$Q85)</f>
        <v/>
      </c>
      <c r="S85" s="12">
        <f>IF($L85="","",$L85-$Q85)</f>
        <v/>
      </c>
      <c r="T85" s="14">
        <f>IF($M85="","",Equipos!$O$3*$M85)</f>
        <v/>
      </c>
      <c r="U85" s="14">
        <f>IFERROR(VLOOKUP($D85,Equipos!$A:$H,6,0),"")</f>
        <v/>
      </c>
      <c r="V85" s="14">
        <f>IFERROR(VLOOKUP($D85,Equipos!$A:$H,7,0),"")</f>
        <v/>
      </c>
      <c r="W85" s="14">
        <f>IFERROR(VLOOKUP($E85,Equipos!$A:$H,6,0),"")</f>
        <v/>
      </c>
      <c r="X85" s="14">
        <f>IFERROR(VLOOKUP($E85,Equipos!$A:$H,7,0),"")</f>
        <v/>
      </c>
      <c r="Y85" s="14">
        <f>IF(OR($U85="",$W85=""),"",MIN(3.6,MAX(1.8,Equipos!$O$2*SQRT($U85*$W85*$V85*$X85))))</f>
        <v/>
      </c>
      <c r="Z85" s="14">
        <f>IF(OR($Y85="",$T85=""),"",MAX(0.2,($Y85+$T85)/2))</f>
        <v/>
      </c>
      <c r="AA85" s="14">
        <f>IF(OR($Y85="",$T85=""),"",MAX(0.2,($Y85-$T85)/2))</f>
        <v/>
      </c>
      <c r="AE85" s="15">
        <f>IF($D85=AE$1,$R85,IF($E85=AE$1,$S85,AE84))</f>
        <v/>
      </c>
      <c r="AF85" s="15">
        <f>IF($D85=AF$1,$R85,IF($E85=AF$1,$S85,AF84))</f>
        <v/>
      </c>
      <c r="AG85" s="15">
        <f>IF($D85=AG$1,$R85,IF($E85=AG$1,$S85,AG84))</f>
        <v/>
      </c>
      <c r="AH85" s="15">
        <f>IF($D85=AH$1,$R85,IF($E85=AH$1,$S85,AH84))</f>
        <v/>
      </c>
      <c r="AI85" s="15">
        <f>IF($D85=AI$1,$R85,IF($E85=AI$1,$S85,AI84))</f>
        <v/>
      </c>
      <c r="AJ85" s="15">
        <f>IF($D85=AJ$1,$R85,IF($E85=AJ$1,$S85,AJ84))</f>
        <v/>
      </c>
      <c r="AK85" s="15">
        <f>IF($D85=AK$1,$R85,IF($E85=AK$1,$S85,AK84))</f>
        <v/>
      </c>
      <c r="AL85" s="15">
        <f>IF($D85=AL$1,$R85,IF($E85=AL$1,$S85,AL84))</f>
        <v/>
      </c>
      <c r="AM85" s="15">
        <f>IF($D85=AM$1,$R85,IF($E85=AM$1,$S85,AM84))</f>
        <v/>
      </c>
      <c r="AN85" s="15">
        <f>IF($D85=AN$1,$R85,IF($E85=AN$1,$S85,AN84))</f>
        <v/>
      </c>
      <c r="AO85" s="15">
        <f>IF($D85=AO$1,$R85,IF($E85=AO$1,$S85,AO84))</f>
        <v/>
      </c>
      <c r="AP85" s="15">
        <f>IF($D85=AP$1,$R85,IF($E85=AP$1,$S85,AP84))</f>
        <v/>
      </c>
      <c r="AQ85" s="15">
        <f>IF($D85=AQ$1,$R85,IF($E85=AQ$1,$S85,AQ84))</f>
        <v/>
      </c>
      <c r="AR85" s="15">
        <f>IF($D85=AR$1,$R85,IF($E85=AR$1,$S85,AR84))</f>
        <v/>
      </c>
      <c r="AS85" s="15">
        <f>IF($D85=AS$1,$R85,IF($E85=AS$1,$S85,AS84))</f>
        <v/>
      </c>
      <c r="AT85" s="15">
        <f>IF($D85=AT$1,$R85,IF($E85=AT$1,$S85,AT84))</f>
        <v/>
      </c>
      <c r="AU85" s="15">
        <f>IF($D85=AU$1,$R85,IF($E85=AU$1,$S85,AU84))</f>
        <v/>
      </c>
      <c r="AV85" s="15">
        <f>IF($D85=AV$1,$R85,IF($E85=AV$1,$S85,AV84))</f>
        <v/>
      </c>
      <c r="AW85" s="15">
        <f>IF($D85=AW$1,$R85,IF($E85=AW$1,$S85,AW84))</f>
        <v/>
      </c>
      <c r="AX85" s="15">
        <f>IF($D85=AX$1,$R85,IF($E85=AX$1,$S85,AX84))</f>
        <v/>
      </c>
      <c r="AY85" s="15">
        <f>IF($D85=AY$1,$R85,IF($E85=AY$1,$S85,AY84))</f>
        <v/>
      </c>
      <c r="AZ85" s="15">
        <f>IF($D85=AZ$1,$R85,IF($E85=AZ$1,$S85,AZ84))</f>
        <v/>
      </c>
      <c r="BA85" s="15">
        <f>IF($D85=BA$1,$R85,IF($E85=BA$1,$S85,BA84))</f>
        <v/>
      </c>
      <c r="BB85" s="15">
        <f>IF($D85=BB$1,$R85,IF($E85=BB$1,$S85,BB84))</f>
        <v/>
      </c>
      <c r="BC85" s="15">
        <f>IF($D85=BC$1,$R85,IF($E85=BC$1,$S85,BC84))</f>
        <v/>
      </c>
      <c r="BD85" s="15">
        <f>IF($D85=BD$1,$R85,IF($E85=BD$1,$S85,BD84))</f>
        <v/>
      </c>
      <c r="BE85" s="15">
        <f>IF($D85=BE$1,$R85,IF($E85=BE$1,$S85,BE84))</f>
        <v/>
      </c>
      <c r="BF85" s="15">
        <f>IF($D85=BF$1,$R85,IF($E85=BF$1,$S85,BF84))</f>
        <v/>
      </c>
      <c r="BG85" s="15">
        <f>IF($D85=BG$1,$R85,IF($E85=BG$1,$S85,BG84))</f>
        <v/>
      </c>
      <c r="BH85" s="15">
        <f>IF($D85=BH$1,$R85,IF($E85=BH$1,$S85,BH84))</f>
        <v/>
      </c>
      <c r="BI85" s="15">
        <f>IF($D85=BI$1,$R85,IF($E85=BI$1,$S85,BI84))</f>
        <v/>
      </c>
      <c r="BJ85" s="15">
        <f>IF($D85=BJ$1,$R85,IF($E85=BJ$1,$S85,BJ84))</f>
        <v/>
      </c>
      <c r="BK85" s="15">
        <f>IF($D85=BK$1,$R85,IF($E85=BK$1,$S85,BK84))</f>
        <v/>
      </c>
      <c r="BL85" s="15">
        <f>IF($D85=BL$1,$R85,IF($E85=BL$1,$S85,BL84))</f>
        <v/>
      </c>
      <c r="BM85" s="15">
        <f>IF($D85=BM$1,$R85,IF($E85=BM$1,$S85,BM84))</f>
        <v/>
      </c>
      <c r="BN85" s="15">
        <f>IF($D85=BN$1,$R85,IF($E85=BN$1,$S85,BN84))</f>
        <v/>
      </c>
      <c r="BO85" s="15">
        <f>IF($D85=BO$1,$R85,IF($E85=BO$1,$S85,BO84))</f>
        <v/>
      </c>
      <c r="BP85" s="15">
        <f>IF($D85=BP$1,$R85,IF($E85=BP$1,$S85,BP84))</f>
        <v/>
      </c>
      <c r="BQ85" s="15">
        <f>IF($D85=BQ$1,$R85,IF($E85=BQ$1,$S85,BQ84))</f>
        <v/>
      </c>
      <c r="BR85" s="15">
        <f>IF($D85=BR$1,$R85,IF($E85=BR$1,$S85,BR84))</f>
        <v/>
      </c>
      <c r="BS85" s="15">
        <f>IF($D85=BS$1,$R85,IF($E85=BS$1,$S85,BS84))</f>
        <v/>
      </c>
      <c r="BT85" s="15">
        <f>IF($D85=BT$1,$R85,IF($E85=BT$1,$S85,BT84))</f>
        <v/>
      </c>
      <c r="BU85" s="15">
        <f>IF($D85=BU$1,$R85,IF($E85=BU$1,$S85,BU84))</f>
        <v/>
      </c>
      <c r="BV85" s="15">
        <f>IF($D85=BV$1,$R85,IF($E85=BV$1,$S85,BV84))</f>
        <v/>
      </c>
      <c r="BW85" s="15">
        <f>IF($D85=BW$1,$R85,IF($E85=BW$1,$S85,BW84))</f>
        <v/>
      </c>
      <c r="BX85" s="15">
        <f>IF($D85=BX$1,$R85,IF($E85=BX$1,$S85,BX84))</f>
        <v/>
      </c>
      <c r="BY85" s="15">
        <f>IF($D85=BY$1,$R85,IF($E85=BY$1,$S85,BY84))</f>
        <v/>
      </c>
      <c r="BZ85" s="15">
        <f>IF($D85=BZ$1,$R85,IF($E85=BZ$1,$S85,BZ84))</f>
        <v/>
      </c>
    </row>
    <row r="86" ht="15" customHeight="1">
      <c r="A86" s="7">
        <f>Fixture!A85</f>
        <v/>
      </c>
      <c r="B86" s="7">
        <f>Fixture!B85</f>
        <v/>
      </c>
      <c r="C86" s="7">
        <f>Fixture!C85</f>
        <v/>
      </c>
      <c r="D86" s="7">
        <f>Fixture!E85</f>
        <v/>
      </c>
      <c r="E86" s="7">
        <f>Fixture!F85</f>
        <v/>
      </c>
      <c r="F86" s="7">
        <f>Fixture!J85</f>
        <v/>
      </c>
      <c r="G86" s="7">
        <f>Fixture!K85</f>
        <v/>
      </c>
      <c r="H86" s="7">
        <f>IF(ISNUMBER(Resultados!B85),1,0)</f>
        <v/>
      </c>
      <c r="I86" s="7">
        <f>IF($H86=1,Resultados!B85,0)</f>
        <v/>
      </c>
      <c r="J86" s="7">
        <f>IF($H86=1,Resultados!C85,0)</f>
        <v/>
      </c>
      <c r="K86" s="12">
        <f>IFERROR(INDEX($AE85:$BZ85,MATCH($D86,$AE$1:$BZ$1,0)),"")</f>
        <v/>
      </c>
      <c r="L86" s="12">
        <f>IFERROR(INDEX($AE85:$BZ85,MATCH($E86,$AE$1:$BZ$1,0)),"")</f>
        <v/>
      </c>
      <c r="M86" s="12">
        <f>IF(OR($K86="",$L86=""),"",($K86+100*$F86)-($L86+100*$G86))</f>
        <v/>
      </c>
      <c r="N86" s="13">
        <f>IF($M86="","",1/(1+10^(-$M86/400)))</f>
        <v/>
      </c>
      <c r="O86" s="7">
        <f>IF(OR($H86=0,$N86=""),"",IF($I86&gt;$J86,1,IF($I86=$J86,0.5,0)))</f>
        <v/>
      </c>
      <c r="P86" s="14">
        <f>IF($O86="","",IF(ABS($I86-$J86)&lt;=1,1,IF(ABS($I86-$J86)=2,1.5,IF(ABS($I86-$J86)=3,1.75,1.75+(ABS($I86-$J86)-3)/8))))</f>
        <v/>
      </c>
      <c r="Q86" s="14">
        <f>IF($O86="",0,Equipos!$O$4*$P86*($O86-$N86))</f>
        <v/>
      </c>
      <c r="R86" s="12">
        <f>IF($K86="","",$K86+$Q86)</f>
        <v/>
      </c>
      <c r="S86" s="12">
        <f>IF($L86="","",$L86-$Q86)</f>
        <v/>
      </c>
      <c r="T86" s="14">
        <f>IF($M86="","",Equipos!$O$3*$M86)</f>
        <v/>
      </c>
      <c r="U86" s="14">
        <f>IFERROR(VLOOKUP($D86,Equipos!$A:$H,6,0),"")</f>
        <v/>
      </c>
      <c r="V86" s="14">
        <f>IFERROR(VLOOKUP($D86,Equipos!$A:$H,7,0),"")</f>
        <v/>
      </c>
      <c r="W86" s="14">
        <f>IFERROR(VLOOKUP($E86,Equipos!$A:$H,6,0),"")</f>
        <v/>
      </c>
      <c r="X86" s="14">
        <f>IFERROR(VLOOKUP($E86,Equipos!$A:$H,7,0),"")</f>
        <v/>
      </c>
      <c r="Y86" s="14">
        <f>IF(OR($U86="",$W86=""),"",MIN(3.6,MAX(1.8,Equipos!$O$2*SQRT($U86*$W86*$V86*$X86))))</f>
        <v/>
      </c>
      <c r="Z86" s="14">
        <f>IF(OR($Y86="",$T86=""),"",MAX(0.2,($Y86+$T86)/2))</f>
        <v/>
      </c>
      <c r="AA86" s="14">
        <f>IF(OR($Y86="",$T86=""),"",MAX(0.2,($Y86-$T86)/2))</f>
        <v/>
      </c>
      <c r="AE86" s="15">
        <f>IF($D86=AE$1,$R86,IF($E86=AE$1,$S86,AE85))</f>
        <v/>
      </c>
      <c r="AF86" s="15">
        <f>IF($D86=AF$1,$R86,IF($E86=AF$1,$S86,AF85))</f>
        <v/>
      </c>
      <c r="AG86" s="15">
        <f>IF($D86=AG$1,$R86,IF($E86=AG$1,$S86,AG85))</f>
        <v/>
      </c>
      <c r="AH86" s="15">
        <f>IF($D86=AH$1,$R86,IF($E86=AH$1,$S86,AH85))</f>
        <v/>
      </c>
      <c r="AI86" s="15">
        <f>IF($D86=AI$1,$R86,IF($E86=AI$1,$S86,AI85))</f>
        <v/>
      </c>
      <c r="AJ86" s="15">
        <f>IF($D86=AJ$1,$R86,IF($E86=AJ$1,$S86,AJ85))</f>
        <v/>
      </c>
      <c r="AK86" s="15">
        <f>IF($D86=AK$1,$R86,IF($E86=AK$1,$S86,AK85))</f>
        <v/>
      </c>
      <c r="AL86" s="15">
        <f>IF($D86=AL$1,$R86,IF($E86=AL$1,$S86,AL85))</f>
        <v/>
      </c>
      <c r="AM86" s="15">
        <f>IF($D86=AM$1,$R86,IF($E86=AM$1,$S86,AM85))</f>
        <v/>
      </c>
      <c r="AN86" s="15">
        <f>IF($D86=AN$1,$R86,IF($E86=AN$1,$S86,AN85))</f>
        <v/>
      </c>
      <c r="AO86" s="15">
        <f>IF($D86=AO$1,$R86,IF($E86=AO$1,$S86,AO85))</f>
        <v/>
      </c>
      <c r="AP86" s="15">
        <f>IF($D86=AP$1,$R86,IF($E86=AP$1,$S86,AP85))</f>
        <v/>
      </c>
      <c r="AQ86" s="15">
        <f>IF($D86=AQ$1,$R86,IF($E86=AQ$1,$S86,AQ85))</f>
        <v/>
      </c>
      <c r="AR86" s="15">
        <f>IF($D86=AR$1,$R86,IF($E86=AR$1,$S86,AR85))</f>
        <v/>
      </c>
      <c r="AS86" s="15">
        <f>IF($D86=AS$1,$R86,IF($E86=AS$1,$S86,AS85))</f>
        <v/>
      </c>
      <c r="AT86" s="15">
        <f>IF($D86=AT$1,$R86,IF($E86=AT$1,$S86,AT85))</f>
        <v/>
      </c>
      <c r="AU86" s="15">
        <f>IF($D86=AU$1,$R86,IF($E86=AU$1,$S86,AU85))</f>
        <v/>
      </c>
      <c r="AV86" s="15">
        <f>IF($D86=AV$1,$R86,IF($E86=AV$1,$S86,AV85))</f>
        <v/>
      </c>
      <c r="AW86" s="15">
        <f>IF($D86=AW$1,$R86,IF($E86=AW$1,$S86,AW85))</f>
        <v/>
      </c>
      <c r="AX86" s="15">
        <f>IF($D86=AX$1,$R86,IF($E86=AX$1,$S86,AX85))</f>
        <v/>
      </c>
      <c r="AY86" s="15">
        <f>IF($D86=AY$1,$R86,IF($E86=AY$1,$S86,AY85))</f>
        <v/>
      </c>
      <c r="AZ86" s="15">
        <f>IF($D86=AZ$1,$R86,IF($E86=AZ$1,$S86,AZ85))</f>
        <v/>
      </c>
      <c r="BA86" s="15">
        <f>IF($D86=BA$1,$R86,IF($E86=BA$1,$S86,BA85))</f>
        <v/>
      </c>
      <c r="BB86" s="15">
        <f>IF($D86=BB$1,$R86,IF($E86=BB$1,$S86,BB85))</f>
        <v/>
      </c>
      <c r="BC86" s="15">
        <f>IF($D86=BC$1,$R86,IF($E86=BC$1,$S86,BC85))</f>
        <v/>
      </c>
      <c r="BD86" s="15">
        <f>IF($D86=BD$1,$R86,IF($E86=BD$1,$S86,BD85))</f>
        <v/>
      </c>
      <c r="BE86" s="15">
        <f>IF($D86=BE$1,$R86,IF($E86=BE$1,$S86,BE85))</f>
        <v/>
      </c>
      <c r="BF86" s="15">
        <f>IF($D86=BF$1,$R86,IF($E86=BF$1,$S86,BF85))</f>
        <v/>
      </c>
      <c r="BG86" s="15">
        <f>IF($D86=BG$1,$R86,IF($E86=BG$1,$S86,BG85))</f>
        <v/>
      </c>
      <c r="BH86" s="15">
        <f>IF($D86=BH$1,$R86,IF($E86=BH$1,$S86,BH85))</f>
        <v/>
      </c>
      <c r="BI86" s="15">
        <f>IF($D86=BI$1,$R86,IF($E86=BI$1,$S86,BI85))</f>
        <v/>
      </c>
      <c r="BJ86" s="15">
        <f>IF($D86=BJ$1,$R86,IF($E86=BJ$1,$S86,BJ85))</f>
        <v/>
      </c>
      <c r="BK86" s="15">
        <f>IF($D86=BK$1,$R86,IF($E86=BK$1,$S86,BK85))</f>
        <v/>
      </c>
      <c r="BL86" s="15">
        <f>IF($D86=BL$1,$R86,IF($E86=BL$1,$S86,BL85))</f>
        <v/>
      </c>
      <c r="BM86" s="15">
        <f>IF($D86=BM$1,$R86,IF($E86=BM$1,$S86,BM85))</f>
        <v/>
      </c>
      <c r="BN86" s="15">
        <f>IF($D86=BN$1,$R86,IF($E86=BN$1,$S86,BN85))</f>
        <v/>
      </c>
      <c r="BO86" s="15">
        <f>IF($D86=BO$1,$R86,IF($E86=BO$1,$S86,BO85))</f>
        <v/>
      </c>
      <c r="BP86" s="15">
        <f>IF($D86=BP$1,$R86,IF($E86=BP$1,$S86,BP85))</f>
        <v/>
      </c>
      <c r="BQ86" s="15">
        <f>IF($D86=BQ$1,$R86,IF($E86=BQ$1,$S86,BQ85))</f>
        <v/>
      </c>
      <c r="BR86" s="15">
        <f>IF($D86=BR$1,$R86,IF($E86=BR$1,$S86,BR85))</f>
        <v/>
      </c>
      <c r="BS86" s="15">
        <f>IF($D86=BS$1,$R86,IF($E86=BS$1,$S86,BS85))</f>
        <v/>
      </c>
      <c r="BT86" s="15">
        <f>IF($D86=BT$1,$R86,IF($E86=BT$1,$S86,BT85))</f>
        <v/>
      </c>
      <c r="BU86" s="15">
        <f>IF($D86=BU$1,$R86,IF($E86=BU$1,$S86,BU85))</f>
        <v/>
      </c>
      <c r="BV86" s="15">
        <f>IF($D86=BV$1,$R86,IF($E86=BV$1,$S86,BV85))</f>
        <v/>
      </c>
      <c r="BW86" s="15">
        <f>IF($D86=BW$1,$R86,IF($E86=BW$1,$S86,BW85))</f>
        <v/>
      </c>
      <c r="BX86" s="15">
        <f>IF($D86=BX$1,$R86,IF($E86=BX$1,$S86,BX85))</f>
        <v/>
      </c>
      <c r="BY86" s="15">
        <f>IF($D86=BY$1,$R86,IF($E86=BY$1,$S86,BY85))</f>
        <v/>
      </c>
      <c r="BZ86" s="15">
        <f>IF($D86=BZ$1,$R86,IF($E86=BZ$1,$S86,BZ85))</f>
        <v/>
      </c>
    </row>
    <row r="87" ht="15" customHeight="1">
      <c r="A87" s="7">
        <f>Fixture!A86</f>
        <v/>
      </c>
      <c r="B87" s="7">
        <f>Fixture!B86</f>
        <v/>
      </c>
      <c r="C87" s="7">
        <f>Fixture!C86</f>
        <v/>
      </c>
      <c r="D87" s="7">
        <f>Fixture!E86</f>
        <v/>
      </c>
      <c r="E87" s="7">
        <f>Fixture!F86</f>
        <v/>
      </c>
      <c r="F87" s="7">
        <f>Fixture!J86</f>
        <v/>
      </c>
      <c r="G87" s="7">
        <f>Fixture!K86</f>
        <v/>
      </c>
      <c r="H87" s="7">
        <f>IF(ISNUMBER(Resultados!B86),1,0)</f>
        <v/>
      </c>
      <c r="I87" s="7">
        <f>IF($H87=1,Resultados!B86,0)</f>
        <v/>
      </c>
      <c r="J87" s="7">
        <f>IF($H87=1,Resultados!C86,0)</f>
        <v/>
      </c>
      <c r="K87" s="12">
        <f>IFERROR(INDEX($AE86:$BZ86,MATCH($D87,$AE$1:$BZ$1,0)),"")</f>
        <v/>
      </c>
      <c r="L87" s="12">
        <f>IFERROR(INDEX($AE86:$BZ86,MATCH($E87,$AE$1:$BZ$1,0)),"")</f>
        <v/>
      </c>
      <c r="M87" s="12">
        <f>IF(OR($K87="",$L87=""),"",($K87+100*$F87)-($L87+100*$G87))</f>
        <v/>
      </c>
      <c r="N87" s="13">
        <f>IF($M87="","",1/(1+10^(-$M87/400)))</f>
        <v/>
      </c>
      <c r="O87" s="7">
        <f>IF(OR($H87=0,$N87=""),"",IF($I87&gt;$J87,1,IF($I87=$J87,0.5,0)))</f>
        <v/>
      </c>
      <c r="P87" s="14">
        <f>IF($O87="","",IF(ABS($I87-$J87)&lt;=1,1,IF(ABS($I87-$J87)=2,1.5,IF(ABS($I87-$J87)=3,1.75,1.75+(ABS($I87-$J87)-3)/8))))</f>
        <v/>
      </c>
      <c r="Q87" s="14">
        <f>IF($O87="",0,Equipos!$O$4*$P87*($O87-$N87))</f>
        <v/>
      </c>
      <c r="R87" s="12">
        <f>IF($K87="","",$K87+$Q87)</f>
        <v/>
      </c>
      <c r="S87" s="12">
        <f>IF($L87="","",$L87-$Q87)</f>
        <v/>
      </c>
      <c r="T87" s="14">
        <f>IF($M87="","",Equipos!$O$3*$M87)</f>
        <v/>
      </c>
      <c r="U87" s="14">
        <f>IFERROR(VLOOKUP($D87,Equipos!$A:$H,6,0),"")</f>
        <v/>
      </c>
      <c r="V87" s="14">
        <f>IFERROR(VLOOKUP($D87,Equipos!$A:$H,7,0),"")</f>
        <v/>
      </c>
      <c r="W87" s="14">
        <f>IFERROR(VLOOKUP($E87,Equipos!$A:$H,6,0),"")</f>
        <v/>
      </c>
      <c r="X87" s="14">
        <f>IFERROR(VLOOKUP($E87,Equipos!$A:$H,7,0),"")</f>
        <v/>
      </c>
      <c r="Y87" s="14">
        <f>IF(OR($U87="",$W87=""),"",MIN(3.6,MAX(1.8,Equipos!$O$2*SQRT($U87*$W87*$V87*$X87))))</f>
        <v/>
      </c>
      <c r="Z87" s="14">
        <f>IF(OR($Y87="",$T87=""),"",MAX(0.2,($Y87+$T87)/2))</f>
        <v/>
      </c>
      <c r="AA87" s="14">
        <f>IF(OR($Y87="",$T87=""),"",MAX(0.2,($Y87-$T87)/2))</f>
        <v/>
      </c>
      <c r="AE87" s="15">
        <f>IF($D87=AE$1,$R87,IF($E87=AE$1,$S87,AE86))</f>
        <v/>
      </c>
      <c r="AF87" s="15">
        <f>IF($D87=AF$1,$R87,IF($E87=AF$1,$S87,AF86))</f>
        <v/>
      </c>
      <c r="AG87" s="15">
        <f>IF($D87=AG$1,$R87,IF($E87=AG$1,$S87,AG86))</f>
        <v/>
      </c>
      <c r="AH87" s="15">
        <f>IF($D87=AH$1,$R87,IF($E87=AH$1,$S87,AH86))</f>
        <v/>
      </c>
      <c r="AI87" s="15">
        <f>IF($D87=AI$1,$R87,IF($E87=AI$1,$S87,AI86))</f>
        <v/>
      </c>
      <c r="AJ87" s="15">
        <f>IF($D87=AJ$1,$R87,IF($E87=AJ$1,$S87,AJ86))</f>
        <v/>
      </c>
      <c r="AK87" s="15">
        <f>IF($D87=AK$1,$R87,IF($E87=AK$1,$S87,AK86))</f>
        <v/>
      </c>
      <c r="AL87" s="15">
        <f>IF($D87=AL$1,$R87,IF($E87=AL$1,$S87,AL86))</f>
        <v/>
      </c>
      <c r="AM87" s="15">
        <f>IF($D87=AM$1,$R87,IF($E87=AM$1,$S87,AM86))</f>
        <v/>
      </c>
      <c r="AN87" s="15">
        <f>IF($D87=AN$1,$R87,IF($E87=AN$1,$S87,AN86))</f>
        <v/>
      </c>
      <c r="AO87" s="15">
        <f>IF($D87=AO$1,$R87,IF($E87=AO$1,$S87,AO86))</f>
        <v/>
      </c>
      <c r="AP87" s="15">
        <f>IF($D87=AP$1,$R87,IF($E87=AP$1,$S87,AP86))</f>
        <v/>
      </c>
      <c r="AQ87" s="15">
        <f>IF($D87=AQ$1,$R87,IF($E87=AQ$1,$S87,AQ86))</f>
        <v/>
      </c>
      <c r="AR87" s="15">
        <f>IF($D87=AR$1,$R87,IF($E87=AR$1,$S87,AR86))</f>
        <v/>
      </c>
      <c r="AS87" s="15">
        <f>IF($D87=AS$1,$R87,IF($E87=AS$1,$S87,AS86))</f>
        <v/>
      </c>
      <c r="AT87" s="15">
        <f>IF($D87=AT$1,$R87,IF($E87=AT$1,$S87,AT86))</f>
        <v/>
      </c>
      <c r="AU87" s="15">
        <f>IF($D87=AU$1,$R87,IF($E87=AU$1,$S87,AU86))</f>
        <v/>
      </c>
      <c r="AV87" s="15">
        <f>IF($D87=AV$1,$R87,IF($E87=AV$1,$S87,AV86))</f>
        <v/>
      </c>
      <c r="AW87" s="15">
        <f>IF($D87=AW$1,$R87,IF($E87=AW$1,$S87,AW86))</f>
        <v/>
      </c>
      <c r="AX87" s="15">
        <f>IF($D87=AX$1,$R87,IF($E87=AX$1,$S87,AX86))</f>
        <v/>
      </c>
      <c r="AY87" s="15">
        <f>IF($D87=AY$1,$R87,IF($E87=AY$1,$S87,AY86))</f>
        <v/>
      </c>
      <c r="AZ87" s="15">
        <f>IF($D87=AZ$1,$R87,IF($E87=AZ$1,$S87,AZ86))</f>
        <v/>
      </c>
      <c r="BA87" s="15">
        <f>IF($D87=BA$1,$R87,IF($E87=BA$1,$S87,BA86))</f>
        <v/>
      </c>
      <c r="BB87" s="15">
        <f>IF($D87=BB$1,$R87,IF($E87=BB$1,$S87,BB86))</f>
        <v/>
      </c>
      <c r="BC87" s="15">
        <f>IF($D87=BC$1,$R87,IF($E87=BC$1,$S87,BC86))</f>
        <v/>
      </c>
      <c r="BD87" s="15">
        <f>IF($D87=BD$1,$R87,IF($E87=BD$1,$S87,BD86))</f>
        <v/>
      </c>
      <c r="BE87" s="15">
        <f>IF($D87=BE$1,$R87,IF($E87=BE$1,$S87,BE86))</f>
        <v/>
      </c>
      <c r="BF87" s="15">
        <f>IF($D87=BF$1,$R87,IF($E87=BF$1,$S87,BF86))</f>
        <v/>
      </c>
      <c r="BG87" s="15">
        <f>IF($D87=BG$1,$R87,IF($E87=BG$1,$S87,BG86))</f>
        <v/>
      </c>
      <c r="BH87" s="15">
        <f>IF($D87=BH$1,$R87,IF($E87=BH$1,$S87,BH86))</f>
        <v/>
      </c>
      <c r="BI87" s="15">
        <f>IF($D87=BI$1,$R87,IF($E87=BI$1,$S87,BI86))</f>
        <v/>
      </c>
      <c r="BJ87" s="15">
        <f>IF($D87=BJ$1,$R87,IF($E87=BJ$1,$S87,BJ86))</f>
        <v/>
      </c>
      <c r="BK87" s="15">
        <f>IF($D87=BK$1,$R87,IF($E87=BK$1,$S87,BK86))</f>
        <v/>
      </c>
      <c r="BL87" s="15">
        <f>IF($D87=BL$1,$R87,IF($E87=BL$1,$S87,BL86))</f>
        <v/>
      </c>
      <c r="BM87" s="15">
        <f>IF($D87=BM$1,$R87,IF($E87=BM$1,$S87,BM86))</f>
        <v/>
      </c>
      <c r="BN87" s="15">
        <f>IF($D87=BN$1,$R87,IF($E87=BN$1,$S87,BN86))</f>
        <v/>
      </c>
      <c r="BO87" s="15">
        <f>IF($D87=BO$1,$R87,IF($E87=BO$1,$S87,BO86))</f>
        <v/>
      </c>
      <c r="BP87" s="15">
        <f>IF($D87=BP$1,$R87,IF($E87=BP$1,$S87,BP86))</f>
        <v/>
      </c>
      <c r="BQ87" s="15">
        <f>IF($D87=BQ$1,$R87,IF($E87=BQ$1,$S87,BQ86))</f>
        <v/>
      </c>
      <c r="BR87" s="15">
        <f>IF($D87=BR$1,$R87,IF($E87=BR$1,$S87,BR86))</f>
        <v/>
      </c>
      <c r="BS87" s="15">
        <f>IF($D87=BS$1,$R87,IF($E87=BS$1,$S87,BS86))</f>
        <v/>
      </c>
      <c r="BT87" s="15">
        <f>IF($D87=BT$1,$R87,IF($E87=BT$1,$S87,BT86))</f>
        <v/>
      </c>
      <c r="BU87" s="15">
        <f>IF($D87=BU$1,$R87,IF($E87=BU$1,$S87,BU86))</f>
        <v/>
      </c>
      <c r="BV87" s="15">
        <f>IF($D87=BV$1,$R87,IF($E87=BV$1,$S87,BV86))</f>
        <v/>
      </c>
      <c r="BW87" s="15">
        <f>IF($D87=BW$1,$R87,IF($E87=BW$1,$S87,BW86))</f>
        <v/>
      </c>
      <c r="BX87" s="15">
        <f>IF($D87=BX$1,$R87,IF($E87=BX$1,$S87,BX86))</f>
        <v/>
      </c>
      <c r="BY87" s="15">
        <f>IF($D87=BY$1,$R87,IF($E87=BY$1,$S87,BY86))</f>
        <v/>
      </c>
      <c r="BZ87" s="15">
        <f>IF($D87=BZ$1,$R87,IF($E87=BZ$1,$S87,BZ86))</f>
        <v/>
      </c>
    </row>
    <row r="88" ht="15" customHeight="1">
      <c r="A88" s="7">
        <f>Fixture!A87</f>
        <v/>
      </c>
      <c r="B88" s="7">
        <f>Fixture!B87</f>
        <v/>
      </c>
      <c r="C88" s="7">
        <f>Fixture!C87</f>
        <v/>
      </c>
      <c r="D88" s="7">
        <f>Fixture!E87</f>
        <v/>
      </c>
      <c r="E88" s="7">
        <f>Fixture!F87</f>
        <v/>
      </c>
      <c r="F88" s="7">
        <f>Fixture!J87</f>
        <v/>
      </c>
      <c r="G88" s="7">
        <f>Fixture!K87</f>
        <v/>
      </c>
      <c r="H88" s="7">
        <f>IF(ISNUMBER(Resultados!B87),1,0)</f>
        <v/>
      </c>
      <c r="I88" s="7">
        <f>IF($H88=1,Resultados!B87,0)</f>
        <v/>
      </c>
      <c r="J88" s="7">
        <f>IF($H88=1,Resultados!C87,0)</f>
        <v/>
      </c>
      <c r="K88" s="12">
        <f>IFERROR(INDEX($AE87:$BZ87,MATCH($D88,$AE$1:$BZ$1,0)),"")</f>
        <v/>
      </c>
      <c r="L88" s="12">
        <f>IFERROR(INDEX($AE87:$BZ87,MATCH($E88,$AE$1:$BZ$1,0)),"")</f>
        <v/>
      </c>
      <c r="M88" s="12">
        <f>IF(OR($K88="",$L88=""),"",($K88+100*$F88)-($L88+100*$G88))</f>
        <v/>
      </c>
      <c r="N88" s="13">
        <f>IF($M88="","",1/(1+10^(-$M88/400)))</f>
        <v/>
      </c>
      <c r="O88" s="7">
        <f>IF(OR($H88=0,$N88=""),"",IF($I88&gt;$J88,1,IF($I88=$J88,0.5,0)))</f>
        <v/>
      </c>
      <c r="P88" s="14">
        <f>IF($O88="","",IF(ABS($I88-$J88)&lt;=1,1,IF(ABS($I88-$J88)=2,1.5,IF(ABS($I88-$J88)=3,1.75,1.75+(ABS($I88-$J88)-3)/8))))</f>
        <v/>
      </c>
      <c r="Q88" s="14">
        <f>IF($O88="",0,Equipos!$O$4*$P88*($O88-$N88))</f>
        <v/>
      </c>
      <c r="R88" s="12">
        <f>IF($K88="","",$K88+$Q88)</f>
        <v/>
      </c>
      <c r="S88" s="12">
        <f>IF($L88="","",$L88-$Q88)</f>
        <v/>
      </c>
      <c r="T88" s="14">
        <f>IF($M88="","",Equipos!$O$3*$M88)</f>
        <v/>
      </c>
      <c r="U88" s="14">
        <f>IFERROR(VLOOKUP($D88,Equipos!$A:$H,6,0),"")</f>
        <v/>
      </c>
      <c r="V88" s="14">
        <f>IFERROR(VLOOKUP($D88,Equipos!$A:$H,7,0),"")</f>
        <v/>
      </c>
      <c r="W88" s="14">
        <f>IFERROR(VLOOKUP($E88,Equipos!$A:$H,6,0),"")</f>
        <v/>
      </c>
      <c r="X88" s="14">
        <f>IFERROR(VLOOKUP($E88,Equipos!$A:$H,7,0),"")</f>
        <v/>
      </c>
      <c r="Y88" s="14">
        <f>IF(OR($U88="",$W88=""),"",MIN(3.6,MAX(1.8,Equipos!$O$2*SQRT($U88*$W88*$V88*$X88))))</f>
        <v/>
      </c>
      <c r="Z88" s="14">
        <f>IF(OR($Y88="",$T88=""),"",MAX(0.2,($Y88+$T88)/2))</f>
        <v/>
      </c>
      <c r="AA88" s="14">
        <f>IF(OR($Y88="",$T88=""),"",MAX(0.2,($Y88-$T88)/2))</f>
        <v/>
      </c>
      <c r="AE88" s="15">
        <f>IF($D88=AE$1,$R88,IF($E88=AE$1,$S88,AE87))</f>
        <v/>
      </c>
      <c r="AF88" s="15">
        <f>IF($D88=AF$1,$R88,IF($E88=AF$1,$S88,AF87))</f>
        <v/>
      </c>
      <c r="AG88" s="15">
        <f>IF($D88=AG$1,$R88,IF($E88=AG$1,$S88,AG87))</f>
        <v/>
      </c>
      <c r="AH88" s="15">
        <f>IF($D88=AH$1,$R88,IF($E88=AH$1,$S88,AH87))</f>
        <v/>
      </c>
      <c r="AI88" s="15">
        <f>IF($D88=AI$1,$R88,IF($E88=AI$1,$S88,AI87))</f>
        <v/>
      </c>
      <c r="AJ88" s="15">
        <f>IF($D88=AJ$1,$R88,IF($E88=AJ$1,$S88,AJ87))</f>
        <v/>
      </c>
      <c r="AK88" s="15">
        <f>IF($D88=AK$1,$R88,IF($E88=AK$1,$S88,AK87))</f>
        <v/>
      </c>
      <c r="AL88" s="15">
        <f>IF($D88=AL$1,$R88,IF($E88=AL$1,$S88,AL87))</f>
        <v/>
      </c>
      <c r="AM88" s="15">
        <f>IF($D88=AM$1,$R88,IF($E88=AM$1,$S88,AM87))</f>
        <v/>
      </c>
      <c r="AN88" s="15">
        <f>IF($D88=AN$1,$R88,IF($E88=AN$1,$S88,AN87))</f>
        <v/>
      </c>
      <c r="AO88" s="15">
        <f>IF($D88=AO$1,$R88,IF($E88=AO$1,$S88,AO87))</f>
        <v/>
      </c>
      <c r="AP88" s="15">
        <f>IF($D88=AP$1,$R88,IF($E88=AP$1,$S88,AP87))</f>
        <v/>
      </c>
      <c r="AQ88" s="15">
        <f>IF($D88=AQ$1,$R88,IF($E88=AQ$1,$S88,AQ87))</f>
        <v/>
      </c>
      <c r="AR88" s="15">
        <f>IF($D88=AR$1,$R88,IF($E88=AR$1,$S88,AR87))</f>
        <v/>
      </c>
      <c r="AS88" s="15">
        <f>IF($D88=AS$1,$R88,IF($E88=AS$1,$S88,AS87))</f>
        <v/>
      </c>
      <c r="AT88" s="15">
        <f>IF($D88=AT$1,$R88,IF($E88=AT$1,$S88,AT87))</f>
        <v/>
      </c>
      <c r="AU88" s="15">
        <f>IF($D88=AU$1,$R88,IF($E88=AU$1,$S88,AU87))</f>
        <v/>
      </c>
      <c r="AV88" s="15">
        <f>IF($D88=AV$1,$R88,IF($E88=AV$1,$S88,AV87))</f>
        <v/>
      </c>
      <c r="AW88" s="15">
        <f>IF($D88=AW$1,$R88,IF($E88=AW$1,$S88,AW87))</f>
        <v/>
      </c>
      <c r="AX88" s="15">
        <f>IF($D88=AX$1,$R88,IF($E88=AX$1,$S88,AX87))</f>
        <v/>
      </c>
      <c r="AY88" s="15">
        <f>IF($D88=AY$1,$R88,IF($E88=AY$1,$S88,AY87))</f>
        <v/>
      </c>
      <c r="AZ88" s="15">
        <f>IF($D88=AZ$1,$R88,IF($E88=AZ$1,$S88,AZ87))</f>
        <v/>
      </c>
      <c r="BA88" s="15">
        <f>IF($D88=BA$1,$R88,IF($E88=BA$1,$S88,BA87))</f>
        <v/>
      </c>
      <c r="BB88" s="15">
        <f>IF($D88=BB$1,$R88,IF($E88=BB$1,$S88,BB87))</f>
        <v/>
      </c>
      <c r="BC88" s="15">
        <f>IF($D88=BC$1,$R88,IF($E88=BC$1,$S88,BC87))</f>
        <v/>
      </c>
      <c r="BD88" s="15">
        <f>IF($D88=BD$1,$R88,IF($E88=BD$1,$S88,BD87))</f>
        <v/>
      </c>
      <c r="BE88" s="15">
        <f>IF($D88=BE$1,$R88,IF($E88=BE$1,$S88,BE87))</f>
        <v/>
      </c>
      <c r="BF88" s="15">
        <f>IF($D88=BF$1,$R88,IF($E88=BF$1,$S88,BF87))</f>
        <v/>
      </c>
      <c r="BG88" s="15">
        <f>IF($D88=BG$1,$R88,IF($E88=BG$1,$S88,BG87))</f>
        <v/>
      </c>
      <c r="BH88" s="15">
        <f>IF($D88=BH$1,$R88,IF($E88=BH$1,$S88,BH87))</f>
        <v/>
      </c>
      <c r="BI88" s="15">
        <f>IF($D88=BI$1,$R88,IF($E88=BI$1,$S88,BI87))</f>
        <v/>
      </c>
      <c r="BJ88" s="15">
        <f>IF($D88=BJ$1,$R88,IF($E88=BJ$1,$S88,BJ87))</f>
        <v/>
      </c>
      <c r="BK88" s="15">
        <f>IF($D88=BK$1,$R88,IF($E88=BK$1,$S88,BK87))</f>
        <v/>
      </c>
      <c r="BL88" s="15">
        <f>IF($D88=BL$1,$R88,IF($E88=BL$1,$S88,BL87))</f>
        <v/>
      </c>
      <c r="BM88" s="15">
        <f>IF($D88=BM$1,$R88,IF($E88=BM$1,$S88,BM87))</f>
        <v/>
      </c>
      <c r="BN88" s="15">
        <f>IF($D88=BN$1,$R88,IF($E88=BN$1,$S88,BN87))</f>
        <v/>
      </c>
      <c r="BO88" s="15">
        <f>IF($D88=BO$1,$R88,IF($E88=BO$1,$S88,BO87))</f>
        <v/>
      </c>
      <c r="BP88" s="15">
        <f>IF($D88=BP$1,$R88,IF($E88=BP$1,$S88,BP87))</f>
        <v/>
      </c>
      <c r="BQ88" s="15">
        <f>IF($D88=BQ$1,$R88,IF($E88=BQ$1,$S88,BQ87))</f>
        <v/>
      </c>
      <c r="BR88" s="15">
        <f>IF($D88=BR$1,$R88,IF($E88=BR$1,$S88,BR87))</f>
        <v/>
      </c>
      <c r="BS88" s="15">
        <f>IF($D88=BS$1,$R88,IF($E88=BS$1,$S88,BS87))</f>
        <v/>
      </c>
      <c r="BT88" s="15">
        <f>IF($D88=BT$1,$R88,IF($E88=BT$1,$S88,BT87))</f>
        <v/>
      </c>
      <c r="BU88" s="15">
        <f>IF($D88=BU$1,$R88,IF($E88=BU$1,$S88,BU87))</f>
        <v/>
      </c>
      <c r="BV88" s="15">
        <f>IF($D88=BV$1,$R88,IF($E88=BV$1,$S88,BV87))</f>
        <v/>
      </c>
      <c r="BW88" s="15">
        <f>IF($D88=BW$1,$R88,IF($E88=BW$1,$S88,BW87))</f>
        <v/>
      </c>
      <c r="BX88" s="15">
        <f>IF($D88=BX$1,$R88,IF($E88=BX$1,$S88,BX87))</f>
        <v/>
      </c>
      <c r="BY88" s="15">
        <f>IF($D88=BY$1,$R88,IF($E88=BY$1,$S88,BY87))</f>
        <v/>
      </c>
      <c r="BZ88" s="15">
        <f>IF($D88=BZ$1,$R88,IF($E88=BZ$1,$S88,BZ87))</f>
        <v/>
      </c>
    </row>
    <row r="89" ht="15" customHeight="1">
      <c r="A89" s="7">
        <f>Fixture!A88</f>
        <v/>
      </c>
      <c r="B89" s="7">
        <f>Fixture!B88</f>
        <v/>
      </c>
      <c r="C89" s="7">
        <f>Fixture!C88</f>
        <v/>
      </c>
      <c r="D89" s="7">
        <f>Fixture!E88</f>
        <v/>
      </c>
      <c r="E89" s="7">
        <f>Fixture!F88</f>
        <v/>
      </c>
      <c r="F89" s="7">
        <f>Fixture!J88</f>
        <v/>
      </c>
      <c r="G89" s="7">
        <f>Fixture!K88</f>
        <v/>
      </c>
      <c r="H89" s="7">
        <f>IF(ISNUMBER(Resultados!B88),1,0)</f>
        <v/>
      </c>
      <c r="I89" s="7">
        <f>IF($H89=1,Resultados!B88,0)</f>
        <v/>
      </c>
      <c r="J89" s="7">
        <f>IF($H89=1,Resultados!C88,0)</f>
        <v/>
      </c>
      <c r="K89" s="12">
        <f>IFERROR(INDEX($AE88:$BZ88,MATCH($D89,$AE$1:$BZ$1,0)),"")</f>
        <v/>
      </c>
      <c r="L89" s="12">
        <f>IFERROR(INDEX($AE88:$BZ88,MATCH($E89,$AE$1:$BZ$1,0)),"")</f>
        <v/>
      </c>
      <c r="M89" s="12">
        <f>IF(OR($K89="",$L89=""),"",($K89+100*$F89)-($L89+100*$G89))</f>
        <v/>
      </c>
      <c r="N89" s="13">
        <f>IF($M89="","",1/(1+10^(-$M89/400)))</f>
        <v/>
      </c>
      <c r="O89" s="7">
        <f>IF(OR($H89=0,$N89=""),"",IF($I89&gt;$J89,1,IF($I89=$J89,0.5,0)))</f>
        <v/>
      </c>
      <c r="P89" s="14">
        <f>IF($O89="","",IF(ABS($I89-$J89)&lt;=1,1,IF(ABS($I89-$J89)=2,1.5,IF(ABS($I89-$J89)=3,1.75,1.75+(ABS($I89-$J89)-3)/8))))</f>
        <v/>
      </c>
      <c r="Q89" s="14">
        <f>IF($O89="",0,Equipos!$O$4*$P89*($O89-$N89))</f>
        <v/>
      </c>
      <c r="R89" s="12">
        <f>IF($K89="","",$K89+$Q89)</f>
        <v/>
      </c>
      <c r="S89" s="12">
        <f>IF($L89="","",$L89-$Q89)</f>
        <v/>
      </c>
      <c r="T89" s="14">
        <f>IF($M89="","",Equipos!$O$3*$M89)</f>
        <v/>
      </c>
      <c r="U89" s="14">
        <f>IFERROR(VLOOKUP($D89,Equipos!$A:$H,6,0),"")</f>
        <v/>
      </c>
      <c r="V89" s="14">
        <f>IFERROR(VLOOKUP($D89,Equipos!$A:$H,7,0),"")</f>
        <v/>
      </c>
      <c r="W89" s="14">
        <f>IFERROR(VLOOKUP($E89,Equipos!$A:$H,6,0),"")</f>
        <v/>
      </c>
      <c r="X89" s="14">
        <f>IFERROR(VLOOKUP($E89,Equipos!$A:$H,7,0),"")</f>
        <v/>
      </c>
      <c r="Y89" s="14">
        <f>IF(OR($U89="",$W89=""),"",MIN(3.6,MAX(1.8,Equipos!$O$2*SQRT($U89*$W89*$V89*$X89))))</f>
        <v/>
      </c>
      <c r="Z89" s="14">
        <f>IF(OR($Y89="",$T89=""),"",MAX(0.2,($Y89+$T89)/2))</f>
        <v/>
      </c>
      <c r="AA89" s="14">
        <f>IF(OR($Y89="",$T89=""),"",MAX(0.2,($Y89-$T89)/2))</f>
        <v/>
      </c>
      <c r="AE89" s="15">
        <f>IF($D89=AE$1,$R89,IF($E89=AE$1,$S89,AE88))</f>
        <v/>
      </c>
      <c r="AF89" s="15">
        <f>IF($D89=AF$1,$R89,IF($E89=AF$1,$S89,AF88))</f>
        <v/>
      </c>
      <c r="AG89" s="15">
        <f>IF($D89=AG$1,$R89,IF($E89=AG$1,$S89,AG88))</f>
        <v/>
      </c>
      <c r="AH89" s="15">
        <f>IF($D89=AH$1,$R89,IF($E89=AH$1,$S89,AH88))</f>
        <v/>
      </c>
      <c r="AI89" s="15">
        <f>IF($D89=AI$1,$R89,IF($E89=AI$1,$S89,AI88))</f>
        <v/>
      </c>
      <c r="AJ89" s="15">
        <f>IF($D89=AJ$1,$R89,IF($E89=AJ$1,$S89,AJ88))</f>
        <v/>
      </c>
      <c r="AK89" s="15">
        <f>IF($D89=AK$1,$R89,IF($E89=AK$1,$S89,AK88))</f>
        <v/>
      </c>
      <c r="AL89" s="15">
        <f>IF($D89=AL$1,$R89,IF($E89=AL$1,$S89,AL88))</f>
        <v/>
      </c>
      <c r="AM89" s="15">
        <f>IF($D89=AM$1,$R89,IF($E89=AM$1,$S89,AM88))</f>
        <v/>
      </c>
      <c r="AN89" s="15">
        <f>IF($D89=AN$1,$R89,IF($E89=AN$1,$S89,AN88))</f>
        <v/>
      </c>
      <c r="AO89" s="15">
        <f>IF($D89=AO$1,$R89,IF($E89=AO$1,$S89,AO88))</f>
        <v/>
      </c>
      <c r="AP89" s="15">
        <f>IF($D89=AP$1,$R89,IF($E89=AP$1,$S89,AP88))</f>
        <v/>
      </c>
      <c r="AQ89" s="15">
        <f>IF($D89=AQ$1,$R89,IF($E89=AQ$1,$S89,AQ88))</f>
        <v/>
      </c>
      <c r="AR89" s="15">
        <f>IF($D89=AR$1,$R89,IF($E89=AR$1,$S89,AR88))</f>
        <v/>
      </c>
      <c r="AS89" s="15">
        <f>IF($D89=AS$1,$R89,IF($E89=AS$1,$S89,AS88))</f>
        <v/>
      </c>
      <c r="AT89" s="15">
        <f>IF($D89=AT$1,$R89,IF($E89=AT$1,$S89,AT88))</f>
        <v/>
      </c>
      <c r="AU89" s="15">
        <f>IF($D89=AU$1,$R89,IF($E89=AU$1,$S89,AU88))</f>
        <v/>
      </c>
      <c r="AV89" s="15">
        <f>IF($D89=AV$1,$R89,IF($E89=AV$1,$S89,AV88))</f>
        <v/>
      </c>
      <c r="AW89" s="15">
        <f>IF($D89=AW$1,$R89,IF($E89=AW$1,$S89,AW88))</f>
        <v/>
      </c>
      <c r="AX89" s="15">
        <f>IF($D89=AX$1,$R89,IF($E89=AX$1,$S89,AX88))</f>
        <v/>
      </c>
      <c r="AY89" s="15">
        <f>IF($D89=AY$1,$R89,IF($E89=AY$1,$S89,AY88))</f>
        <v/>
      </c>
      <c r="AZ89" s="15">
        <f>IF($D89=AZ$1,$R89,IF($E89=AZ$1,$S89,AZ88))</f>
        <v/>
      </c>
      <c r="BA89" s="15">
        <f>IF($D89=BA$1,$R89,IF($E89=BA$1,$S89,BA88))</f>
        <v/>
      </c>
      <c r="BB89" s="15">
        <f>IF($D89=BB$1,$R89,IF($E89=BB$1,$S89,BB88))</f>
        <v/>
      </c>
      <c r="BC89" s="15">
        <f>IF($D89=BC$1,$R89,IF($E89=BC$1,$S89,BC88))</f>
        <v/>
      </c>
      <c r="BD89" s="15">
        <f>IF($D89=BD$1,$R89,IF($E89=BD$1,$S89,BD88))</f>
        <v/>
      </c>
      <c r="BE89" s="15">
        <f>IF($D89=BE$1,$R89,IF($E89=BE$1,$S89,BE88))</f>
        <v/>
      </c>
      <c r="BF89" s="15">
        <f>IF($D89=BF$1,$R89,IF($E89=BF$1,$S89,BF88))</f>
        <v/>
      </c>
      <c r="BG89" s="15">
        <f>IF($D89=BG$1,$R89,IF($E89=BG$1,$S89,BG88))</f>
        <v/>
      </c>
      <c r="BH89" s="15">
        <f>IF($D89=BH$1,$R89,IF($E89=BH$1,$S89,BH88))</f>
        <v/>
      </c>
      <c r="BI89" s="15">
        <f>IF($D89=BI$1,$R89,IF($E89=BI$1,$S89,BI88))</f>
        <v/>
      </c>
      <c r="BJ89" s="15">
        <f>IF($D89=BJ$1,$R89,IF($E89=BJ$1,$S89,BJ88))</f>
        <v/>
      </c>
      <c r="BK89" s="15">
        <f>IF($D89=BK$1,$R89,IF($E89=BK$1,$S89,BK88))</f>
        <v/>
      </c>
      <c r="BL89" s="15">
        <f>IF($D89=BL$1,$R89,IF($E89=BL$1,$S89,BL88))</f>
        <v/>
      </c>
      <c r="BM89" s="15">
        <f>IF($D89=BM$1,$R89,IF($E89=BM$1,$S89,BM88))</f>
        <v/>
      </c>
      <c r="BN89" s="15">
        <f>IF($D89=BN$1,$R89,IF($E89=BN$1,$S89,BN88))</f>
        <v/>
      </c>
      <c r="BO89" s="15">
        <f>IF($D89=BO$1,$R89,IF($E89=BO$1,$S89,BO88))</f>
        <v/>
      </c>
      <c r="BP89" s="15">
        <f>IF($D89=BP$1,$R89,IF($E89=BP$1,$S89,BP88))</f>
        <v/>
      </c>
      <c r="BQ89" s="15">
        <f>IF($D89=BQ$1,$R89,IF($E89=BQ$1,$S89,BQ88))</f>
        <v/>
      </c>
      <c r="BR89" s="15">
        <f>IF($D89=BR$1,$R89,IF($E89=BR$1,$S89,BR88))</f>
        <v/>
      </c>
      <c r="BS89" s="15">
        <f>IF($D89=BS$1,$R89,IF($E89=BS$1,$S89,BS88))</f>
        <v/>
      </c>
      <c r="BT89" s="15">
        <f>IF($D89=BT$1,$R89,IF($E89=BT$1,$S89,BT88))</f>
        <v/>
      </c>
      <c r="BU89" s="15">
        <f>IF($D89=BU$1,$R89,IF($E89=BU$1,$S89,BU88))</f>
        <v/>
      </c>
      <c r="BV89" s="15">
        <f>IF($D89=BV$1,$R89,IF($E89=BV$1,$S89,BV88))</f>
        <v/>
      </c>
      <c r="BW89" s="15">
        <f>IF($D89=BW$1,$R89,IF($E89=BW$1,$S89,BW88))</f>
        <v/>
      </c>
      <c r="BX89" s="15">
        <f>IF($D89=BX$1,$R89,IF($E89=BX$1,$S89,BX88))</f>
        <v/>
      </c>
      <c r="BY89" s="15">
        <f>IF($D89=BY$1,$R89,IF($E89=BY$1,$S89,BY88))</f>
        <v/>
      </c>
      <c r="BZ89" s="15">
        <f>IF($D89=BZ$1,$R89,IF($E89=BZ$1,$S89,BZ88))</f>
        <v/>
      </c>
    </row>
    <row r="90" ht="15" customHeight="1">
      <c r="A90" s="7">
        <f>Fixture!A89</f>
        <v/>
      </c>
      <c r="B90" s="7">
        <f>Fixture!B89</f>
        <v/>
      </c>
      <c r="C90" s="7">
        <f>Fixture!C89</f>
        <v/>
      </c>
      <c r="D90" s="7">
        <f>Fixture!E89</f>
        <v/>
      </c>
      <c r="E90" s="7">
        <f>Fixture!F89</f>
        <v/>
      </c>
      <c r="F90" s="7">
        <f>Fixture!J89</f>
        <v/>
      </c>
      <c r="G90" s="7">
        <f>Fixture!K89</f>
        <v/>
      </c>
      <c r="H90" s="7">
        <f>IF(ISNUMBER(Resultados!B89),1,0)</f>
        <v/>
      </c>
      <c r="I90" s="7">
        <f>IF($H90=1,Resultados!B89,0)</f>
        <v/>
      </c>
      <c r="J90" s="7">
        <f>IF($H90=1,Resultados!C89,0)</f>
        <v/>
      </c>
      <c r="K90" s="12">
        <f>IFERROR(INDEX($AE89:$BZ89,MATCH($D90,$AE$1:$BZ$1,0)),"")</f>
        <v/>
      </c>
      <c r="L90" s="12">
        <f>IFERROR(INDEX($AE89:$BZ89,MATCH($E90,$AE$1:$BZ$1,0)),"")</f>
        <v/>
      </c>
      <c r="M90" s="12">
        <f>IF(OR($K90="",$L90=""),"",($K90+100*$F90)-($L90+100*$G90))</f>
        <v/>
      </c>
      <c r="N90" s="13">
        <f>IF($M90="","",1/(1+10^(-$M90/400)))</f>
        <v/>
      </c>
      <c r="O90" s="7">
        <f>IF(OR($H90=0,$N90=""),"",IF($I90&gt;$J90,1,IF($I90=$J90,0.5,0)))</f>
        <v/>
      </c>
      <c r="P90" s="14">
        <f>IF($O90="","",IF(ABS($I90-$J90)&lt;=1,1,IF(ABS($I90-$J90)=2,1.5,IF(ABS($I90-$J90)=3,1.75,1.75+(ABS($I90-$J90)-3)/8))))</f>
        <v/>
      </c>
      <c r="Q90" s="14">
        <f>IF($O90="",0,Equipos!$O$4*$P90*($O90-$N90))</f>
        <v/>
      </c>
      <c r="R90" s="12">
        <f>IF($K90="","",$K90+$Q90)</f>
        <v/>
      </c>
      <c r="S90" s="12">
        <f>IF($L90="","",$L90-$Q90)</f>
        <v/>
      </c>
      <c r="T90" s="14">
        <f>IF($M90="","",Equipos!$O$3*$M90)</f>
        <v/>
      </c>
      <c r="U90" s="14">
        <f>IFERROR(VLOOKUP($D90,Equipos!$A:$H,6,0),"")</f>
        <v/>
      </c>
      <c r="V90" s="14">
        <f>IFERROR(VLOOKUP($D90,Equipos!$A:$H,7,0),"")</f>
        <v/>
      </c>
      <c r="W90" s="14">
        <f>IFERROR(VLOOKUP($E90,Equipos!$A:$H,6,0),"")</f>
        <v/>
      </c>
      <c r="X90" s="14">
        <f>IFERROR(VLOOKUP($E90,Equipos!$A:$H,7,0),"")</f>
        <v/>
      </c>
      <c r="Y90" s="14">
        <f>IF(OR($U90="",$W90=""),"",MIN(3.6,MAX(1.8,Equipos!$O$2*SQRT($U90*$W90*$V90*$X90))))</f>
        <v/>
      </c>
      <c r="Z90" s="14">
        <f>IF(OR($Y90="",$T90=""),"",MAX(0.2,($Y90+$T90)/2))</f>
        <v/>
      </c>
      <c r="AA90" s="14">
        <f>IF(OR($Y90="",$T90=""),"",MAX(0.2,($Y90-$T90)/2))</f>
        <v/>
      </c>
      <c r="AE90" s="15">
        <f>IF($D90=AE$1,$R90,IF($E90=AE$1,$S90,AE89))</f>
        <v/>
      </c>
      <c r="AF90" s="15">
        <f>IF($D90=AF$1,$R90,IF($E90=AF$1,$S90,AF89))</f>
        <v/>
      </c>
      <c r="AG90" s="15">
        <f>IF($D90=AG$1,$R90,IF($E90=AG$1,$S90,AG89))</f>
        <v/>
      </c>
      <c r="AH90" s="15">
        <f>IF($D90=AH$1,$R90,IF($E90=AH$1,$S90,AH89))</f>
        <v/>
      </c>
      <c r="AI90" s="15">
        <f>IF($D90=AI$1,$R90,IF($E90=AI$1,$S90,AI89))</f>
        <v/>
      </c>
      <c r="AJ90" s="15">
        <f>IF($D90=AJ$1,$R90,IF($E90=AJ$1,$S90,AJ89))</f>
        <v/>
      </c>
      <c r="AK90" s="15">
        <f>IF($D90=AK$1,$R90,IF($E90=AK$1,$S90,AK89))</f>
        <v/>
      </c>
      <c r="AL90" s="15">
        <f>IF($D90=AL$1,$R90,IF($E90=AL$1,$S90,AL89))</f>
        <v/>
      </c>
      <c r="AM90" s="15">
        <f>IF($D90=AM$1,$R90,IF($E90=AM$1,$S90,AM89))</f>
        <v/>
      </c>
      <c r="AN90" s="15">
        <f>IF($D90=AN$1,$R90,IF($E90=AN$1,$S90,AN89))</f>
        <v/>
      </c>
      <c r="AO90" s="15">
        <f>IF($D90=AO$1,$R90,IF($E90=AO$1,$S90,AO89))</f>
        <v/>
      </c>
      <c r="AP90" s="15">
        <f>IF($D90=AP$1,$R90,IF($E90=AP$1,$S90,AP89))</f>
        <v/>
      </c>
      <c r="AQ90" s="15">
        <f>IF($D90=AQ$1,$R90,IF($E90=AQ$1,$S90,AQ89))</f>
        <v/>
      </c>
      <c r="AR90" s="15">
        <f>IF($D90=AR$1,$R90,IF($E90=AR$1,$S90,AR89))</f>
        <v/>
      </c>
      <c r="AS90" s="15">
        <f>IF($D90=AS$1,$R90,IF($E90=AS$1,$S90,AS89))</f>
        <v/>
      </c>
      <c r="AT90" s="15">
        <f>IF($D90=AT$1,$R90,IF($E90=AT$1,$S90,AT89))</f>
        <v/>
      </c>
      <c r="AU90" s="15">
        <f>IF($D90=AU$1,$R90,IF($E90=AU$1,$S90,AU89))</f>
        <v/>
      </c>
      <c r="AV90" s="15">
        <f>IF($D90=AV$1,$R90,IF($E90=AV$1,$S90,AV89))</f>
        <v/>
      </c>
      <c r="AW90" s="15">
        <f>IF($D90=AW$1,$R90,IF($E90=AW$1,$S90,AW89))</f>
        <v/>
      </c>
      <c r="AX90" s="15">
        <f>IF($D90=AX$1,$R90,IF($E90=AX$1,$S90,AX89))</f>
        <v/>
      </c>
      <c r="AY90" s="15">
        <f>IF($D90=AY$1,$R90,IF($E90=AY$1,$S90,AY89))</f>
        <v/>
      </c>
      <c r="AZ90" s="15">
        <f>IF($D90=AZ$1,$R90,IF($E90=AZ$1,$S90,AZ89))</f>
        <v/>
      </c>
      <c r="BA90" s="15">
        <f>IF($D90=BA$1,$R90,IF($E90=BA$1,$S90,BA89))</f>
        <v/>
      </c>
      <c r="BB90" s="15">
        <f>IF($D90=BB$1,$R90,IF($E90=BB$1,$S90,BB89))</f>
        <v/>
      </c>
      <c r="BC90" s="15">
        <f>IF($D90=BC$1,$R90,IF($E90=BC$1,$S90,BC89))</f>
        <v/>
      </c>
      <c r="BD90" s="15">
        <f>IF($D90=BD$1,$R90,IF($E90=BD$1,$S90,BD89))</f>
        <v/>
      </c>
      <c r="BE90" s="15">
        <f>IF($D90=BE$1,$R90,IF($E90=BE$1,$S90,BE89))</f>
        <v/>
      </c>
      <c r="BF90" s="15">
        <f>IF($D90=BF$1,$R90,IF($E90=BF$1,$S90,BF89))</f>
        <v/>
      </c>
      <c r="BG90" s="15">
        <f>IF($D90=BG$1,$R90,IF($E90=BG$1,$S90,BG89))</f>
        <v/>
      </c>
      <c r="BH90" s="15">
        <f>IF($D90=BH$1,$R90,IF($E90=BH$1,$S90,BH89))</f>
        <v/>
      </c>
      <c r="BI90" s="15">
        <f>IF($D90=BI$1,$R90,IF($E90=BI$1,$S90,BI89))</f>
        <v/>
      </c>
      <c r="BJ90" s="15">
        <f>IF($D90=BJ$1,$R90,IF($E90=BJ$1,$S90,BJ89))</f>
        <v/>
      </c>
      <c r="BK90" s="15">
        <f>IF($D90=BK$1,$R90,IF($E90=BK$1,$S90,BK89))</f>
        <v/>
      </c>
      <c r="BL90" s="15">
        <f>IF($D90=BL$1,$R90,IF($E90=BL$1,$S90,BL89))</f>
        <v/>
      </c>
      <c r="BM90" s="15">
        <f>IF($D90=BM$1,$R90,IF($E90=BM$1,$S90,BM89))</f>
        <v/>
      </c>
      <c r="BN90" s="15">
        <f>IF($D90=BN$1,$R90,IF($E90=BN$1,$S90,BN89))</f>
        <v/>
      </c>
      <c r="BO90" s="15">
        <f>IF($D90=BO$1,$R90,IF($E90=BO$1,$S90,BO89))</f>
        <v/>
      </c>
      <c r="BP90" s="15">
        <f>IF($D90=BP$1,$R90,IF($E90=BP$1,$S90,BP89))</f>
        <v/>
      </c>
      <c r="BQ90" s="15">
        <f>IF($D90=BQ$1,$R90,IF($E90=BQ$1,$S90,BQ89))</f>
        <v/>
      </c>
      <c r="BR90" s="15">
        <f>IF($D90=BR$1,$R90,IF($E90=BR$1,$S90,BR89))</f>
        <v/>
      </c>
      <c r="BS90" s="15">
        <f>IF($D90=BS$1,$R90,IF($E90=BS$1,$S90,BS89))</f>
        <v/>
      </c>
      <c r="BT90" s="15">
        <f>IF($D90=BT$1,$R90,IF($E90=BT$1,$S90,BT89))</f>
        <v/>
      </c>
      <c r="BU90" s="15">
        <f>IF($D90=BU$1,$R90,IF($E90=BU$1,$S90,BU89))</f>
        <v/>
      </c>
      <c r="BV90" s="15">
        <f>IF($D90=BV$1,$R90,IF($E90=BV$1,$S90,BV89))</f>
        <v/>
      </c>
      <c r="BW90" s="15">
        <f>IF($D90=BW$1,$R90,IF($E90=BW$1,$S90,BW89))</f>
        <v/>
      </c>
      <c r="BX90" s="15">
        <f>IF($D90=BX$1,$R90,IF($E90=BX$1,$S90,BX89))</f>
        <v/>
      </c>
      <c r="BY90" s="15">
        <f>IF($D90=BY$1,$R90,IF($E90=BY$1,$S90,BY89))</f>
        <v/>
      </c>
      <c r="BZ90" s="15">
        <f>IF($D90=BZ$1,$R90,IF($E90=BZ$1,$S90,BZ89))</f>
        <v/>
      </c>
    </row>
    <row r="91" ht="15" customHeight="1">
      <c r="A91" s="7">
        <f>Fixture!A90</f>
        <v/>
      </c>
      <c r="B91" s="7">
        <f>Fixture!B90</f>
        <v/>
      </c>
      <c r="C91" s="7">
        <f>Fixture!C90</f>
        <v/>
      </c>
      <c r="D91" s="7">
        <f>Fixture!E90</f>
        <v/>
      </c>
      <c r="E91" s="7">
        <f>Fixture!F90</f>
        <v/>
      </c>
      <c r="F91" s="7">
        <f>Fixture!J90</f>
        <v/>
      </c>
      <c r="G91" s="7">
        <f>Fixture!K90</f>
        <v/>
      </c>
      <c r="H91" s="7">
        <f>IF(ISNUMBER(Resultados!B90),1,0)</f>
        <v/>
      </c>
      <c r="I91" s="7">
        <f>IF($H91=1,Resultados!B90,0)</f>
        <v/>
      </c>
      <c r="J91" s="7">
        <f>IF($H91=1,Resultados!C90,0)</f>
        <v/>
      </c>
      <c r="K91" s="12">
        <f>IFERROR(INDEX($AE90:$BZ90,MATCH($D91,$AE$1:$BZ$1,0)),"")</f>
        <v/>
      </c>
      <c r="L91" s="12">
        <f>IFERROR(INDEX($AE90:$BZ90,MATCH($E91,$AE$1:$BZ$1,0)),"")</f>
        <v/>
      </c>
      <c r="M91" s="12">
        <f>IF(OR($K91="",$L91=""),"",($K91+100*$F91)-($L91+100*$G91))</f>
        <v/>
      </c>
      <c r="N91" s="13">
        <f>IF($M91="","",1/(1+10^(-$M91/400)))</f>
        <v/>
      </c>
      <c r="O91" s="7">
        <f>IF(OR($H91=0,$N91=""),"",IF($I91&gt;$J91,1,IF($I91=$J91,0.5,0)))</f>
        <v/>
      </c>
      <c r="P91" s="14">
        <f>IF($O91="","",IF(ABS($I91-$J91)&lt;=1,1,IF(ABS($I91-$J91)=2,1.5,IF(ABS($I91-$J91)=3,1.75,1.75+(ABS($I91-$J91)-3)/8))))</f>
        <v/>
      </c>
      <c r="Q91" s="14">
        <f>IF($O91="",0,Equipos!$O$4*$P91*($O91-$N91))</f>
        <v/>
      </c>
      <c r="R91" s="12">
        <f>IF($K91="","",$K91+$Q91)</f>
        <v/>
      </c>
      <c r="S91" s="12">
        <f>IF($L91="","",$L91-$Q91)</f>
        <v/>
      </c>
      <c r="T91" s="14">
        <f>IF($M91="","",Equipos!$O$3*$M91)</f>
        <v/>
      </c>
      <c r="U91" s="14">
        <f>IFERROR(VLOOKUP($D91,Equipos!$A:$H,6,0),"")</f>
        <v/>
      </c>
      <c r="V91" s="14">
        <f>IFERROR(VLOOKUP($D91,Equipos!$A:$H,7,0),"")</f>
        <v/>
      </c>
      <c r="W91" s="14">
        <f>IFERROR(VLOOKUP($E91,Equipos!$A:$H,6,0),"")</f>
        <v/>
      </c>
      <c r="X91" s="14">
        <f>IFERROR(VLOOKUP($E91,Equipos!$A:$H,7,0),"")</f>
        <v/>
      </c>
      <c r="Y91" s="14">
        <f>IF(OR($U91="",$W91=""),"",MIN(3.6,MAX(1.8,Equipos!$O$2*SQRT($U91*$W91*$V91*$X91))))</f>
        <v/>
      </c>
      <c r="Z91" s="14">
        <f>IF(OR($Y91="",$T91=""),"",MAX(0.2,($Y91+$T91)/2))</f>
        <v/>
      </c>
      <c r="AA91" s="14">
        <f>IF(OR($Y91="",$T91=""),"",MAX(0.2,($Y91-$T91)/2))</f>
        <v/>
      </c>
      <c r="AE91" s="15">
        <f>IF($D91=AE$1,$R91,IF($E91=AE$1,$S91,AE90))</f>
        <v/>
      </c>
      <c r="AF91" s="15">
        <f>IF($D91=AF$1,$R91,IF($E91=AF$1,$S91,AF90))</f>
        <v/>
      </c>
      <c r="AG91" s="15">
        <f>IF($D91=AG$1,$R91,IF($E91=AG$1,$S91,AG90))</f>
        <v/>
      </c>
      <c r="AH91" s="15">
        <f>IF($D91=AH$1,$R91,IF($E91=AH$1,$S91,AH90))</f>
        <v/>
      </c>
      <c r="AI91" s="15">
        <f>IF($D91=AI$1,$R91,IF($E91=AI$1,$S91,AI90))</f>
        <v/>
      </c>
      <c r="AJ91" s="15">
        <f>IF($D91=AJ$1,$R91,IF($E91=AJ$1,$S91,AJ90))</f>
        <v/>
      </c>
      <c r="AK91" s="15">
        <f>IF($D91=AK$1,$R91,IF($E91=AK$1,$S91,AK90))</f>
        <v/>
      </c>
      <c r="AL91" s="15">
        <f>IF($D91=AL$1,$R91,IF($E91=AL$1,$S91,AL90))</f>
        <v/>
      </c>
      <c r="AM91" s="15">
        <f>IF($D91=AM$1,$R91,IF($E91=AM$1,$S91,AM90))</f>
        <v/>
      </c>
      <c r="AN91" s="15">
        <f>IF($D91=AN$1,$R91,IF($E91=AN$1,$S91,AN90))</f>
        <v/>
      </c>
      <c r="AO91" s="15">
        <f>IF($D91=AO$1,$R91,IF($E91=AO$1,$S91,AO90))</f>
        <v/>
      </c>
      <c r="AP91" s="15">
        <f>IF($D91=AP$1,$R91,IF($E91=AP$1,$S91,AP90))</f>
        <v/>
      </c>
      <c r="AQ91" s="15">
        <f>IF($D91=AQ$1,$R91,IF($E91=AQ$1,$S91,AQ90))</f>
        <v/>
      </c>
      <c r="AR91" s="15">
        <f>IF($D91=AR$1,$R91,IF($E91=AR$1,$S91,AR90))</f>
        <v/>
      </c>
      <c r="AS91" s="15">
        <f>IF($D91=AS$1,$R91,IF($E91=AS$1,$S91,AS90))</f>
        <v/>
      </c>
      <c r="AT91" s="15">
        <f>IF($D91=AT$1,$R91,IF($E91=AT$1,$S91,AT90))</f>
        <v/>
      </c>
      <c r="AU91" s="15">
        <f>IF($D91=AU$1,$R91,IF($E91=AU$1,$S91,AU90))</f>
        <v/>
      </c>
      <c r="AV91" s="15">
        <f>IF($D91=AV$1,$R91,IF($E91=AV$1,$S91,AV90))</f>
        <v/>
      </c>
      <c r="AW91" s="15">
        <f>IF($D91=AW$1,$R91,IF($E91=AW$1,$S91,AW90))</f>
        <v/>
      </c>
      <c r="AX91" s="15">
        <f>IF($D91=AX$1,$R91,IF($E91=AX$1,$S91,AX90))</f>
        <v/>
      </c>
      <c r="AY91" s="15">
        <f>IF($D91=AY$1,$R91,IF($E91=AY$1,$S91,AY90))</f>
        <v/>
      </c>
      <c r="AZ91" s="15">
        <f>IF($D91=AZ$1,$R91,IF($E91=AZ$1,$S91,AZ90))</f>
        <v/>
      </c>
      <c r="BA91" s="15">
        <f>IF($D91=BA$1,$R91,IF($E91=BA$1,$S91,BA90))</f>
        <v/>
      </c>
      <c r="BB91" s="15">
        <f>IF($D91=BB$1,$R91,IF($E91=BB$1,$S91,BB90))</f>
        <v/>
      </c>
      <c r="BC91" s="15">
        <f>IF($D91=BC$1,$R91,IF($E91=BC$1,$S91,BC90))</f>
        <v/>
      </c>
      <c r="BD91" s="15">
        <f>IF($D91=BD$1,$R91,IF($E91=BD$1,$S91,BD90))</f>
        <v/>
      </c>
      <c r="BE91" s="15">
        <f>IF($D91=BE$1,$R91,IF($E91=BE$1,$S91,BE90))</f>
        <v/>
      </c>
      <c r="BF91" s="15">
        <f>IF($D91=BF$1,$R91,IF($E91=BF$1,$S91,BF90))</f>
        <v/>
      </c>
      <c r="BG91" s="15">
        <f>IF($D91=BG$1,$R91,IF($E91=BG$1,$S91,BG90))</f>
        <v/>
      </c>
      <c r="BH91" s="15">
        <f>IF($D91=BH$1,$R91,IF($E91=BH$1,$S91,BH90))</f>
        <v/>
      </c>
      <c r="BI91" s="15">
        <f>IF($D91=BI$1,$R91,IF($E91=BI$1,$S91,BI90))</f>
        <v/>
      </c>
      <c r="BJ91" s="15">
        <f>IF($D91=BJ$1,$R91,IF($E91=BJ$1,$S91,BJ90))</f>
        <v/>
      </c>
      <c r="BK91" s="15">
        <f>IF($D91=BK$1,$R91,IF($E91=BK$1,$S91,BK90))</f>
        <v/>
      </c>
      <c r="BL91" s="15">
        <f>IF($D91=BL$1,$R91,IF($E91=BL$1,$S91,BL90))</f>
        <v/>
      </c>
      <c r="BM91" s="15">
        <f>IF($D91=BM$1,$R91,IF($E91=BM$1,$S91,BM90))</f>
        <v/>
      </c>
      <c r="BN91" s="15">
        <f>IF($D91=BN$1,$R91,IF($E91=BN$1,$S91,BN90))</f>
        <v/>
      </c>
      <c r="BO91" s="15">
        <f>IF($D91=BO$1,$R91,IF($E91=BO$1,$S91,BO90))</f>
        <v/>
      </c>
      <c r="BP91" s="15">
        <f>IF($D91=BP$1,$R91,IF($E91=BP$1,$S91,BP90))</f>
        <v/>
      </c>
      <c r="BQ91" s="15">
        <f>IF($D91=BQ$1,$R91,IF($E91=BQ$1,$S91,BQ90))</f>
        <v/>
      </c>
      <c r="BR91" s="15">
        <f>IF($D91=BR$1,$R91,IF($E91=BR$1,$S91,BR90))</f>
        <v/>
      </c>
      <c r="BS91" s="15">
        <f>IF($D91=BS$1,$R91,IF($E91=BS$1,$S91,BS90))</f>
        <v/>
      </c>
      <c r="BT91" s="15">
        <f>IF($D91=BT$1,$R91,IF($E91=BT$1,$S91,BT90))</f>
        <v/>
      </c>
      <c r="BU91" s="15">
        <f>IF($D91=BU$1,$R91,IF($E91=BU$1,$S91,BU90))</f>
        <v/>
      </c>
      <c r="BV91" s="15">
        <f>IF($D91=BV$1,$R91,IF($E91=BV$1,$S91,BV90))</f>
        <v/>
      </c>
      <c r="BW91" s="15">
        <f>IF($D91=BW$1,$R91,IF($E91=BW$1,$S91,BW90))</f>
        <v/>
      </c>
      <c r="BX91" s="15">
        <f>IF($D91=BX$1,$R91,IF($E91=BX$1,$S91,BX90))</f>
        <v/>
      </c>
      <c r="BY91" s="15">
        <f>IF($D91=BY$1,$R91,IF($E91=BY$1,$S91,BY90))</f>
        <v/>
      </c>
      <c r="BZ91" s="15">
        <f>IF($D91=BZ$1,$R91,IF($E91=BZ$1,$S91,BZ90))</f>
        <v/>
      </c>
    </row>
    <row r="92" ht="15" customHeight="1">
      <c r="A92" s="7">
        <f>Fixture!A91</f>
        <v/>
      </c>
      <c r="B92" s="7">
        <f>Fixture!B91</f>
        <v/>
      </c>
      <c r="C92" s="7">
        <f>Fixture!C91</f>
        <v/>
      </c>
      <c r="D92" s="7">
        <f>Fixture!E91</f>
        <v/>
      </c>
      <c r="E92" s="7">
        <f>Fixture!F91</f>
        <v/>
      </c>
      <c r="F92" s="7">
        <f>Fixture!J91</f>
        <v/>
      </c>
      <c r="G92" s="7">
        <f>Fixture!K91</f>
        <v/>
      </c>
      <c r="H92" s="7">
        <f>IF(ISNUMBER(Resultados!B91),1,0)</f>
        <v/>
      </c>
      <c r="I92" s="7">
        <f>IF($H92=1,Resultados!B91,0)</f>
        <v/>
      </c>
      <c r="J92" s="7">
        <f>IF($H92=1,Resultados!C91,0)</f>
        <v/>
      </c>
      <c r="K92" s="12">
        <f>IFERROR(INDEX($AE91:$BZ91,MATCH($D92,$AE$1:$BZ$1,0)),"")</f>
        <v/>
      </c>
      <c r="L92" s="12">
        <f>IFERROR(INDEX($AE91:$BZ91,MATCH($E92,$AE$1:$BZ$1,0)),"")</f>
        <v/>
      </c>
      <c r="M92" s="12">
        <f>IF(OR($K92="",$L92=""),"",($K92+100*$F92)-($L92+100*$G92))</f>
        <v/>
      </c>
      <c r="N92" s="13">
        <f>IF($M92="","",1/(1+10^(-$M92/400)))</f>
        <v/>
      </c>
      <c r="O92" s="7">
        <f>IF(OR($H92=0,$N92=""),"",IF($I92&gt;$J92,1,IF($I92=$J92,0.5,0)))</f>
        <v/>
      </c>
      <c r="P92" s="14">
        <f>IF($O92="","",IF(ABS($I92-$J92)&lt;=1,1,IF(ABS($I92-$J92)=2,1.5,IF(ABS($I92-$J92)=3,1.75,1.75+(ABS($I92-$J92)-3)/8))))</f>
        <v/>
      </c>
      <c r="Q92" s="14">
        <f>IF($O92="",0,Equipos!$O$4*$P92*($O92-$N92))</f>
        <v/>
      </c>
      <c r="R92" s="12">
        <f>IF($K92="","",$K92+$Q92)</f>
        <v/>
      </c>
      <c r="S92" s="12">
        <f>IF($L92="","",$L92-$Q92)</f>
        <v/>
      </c>
      <c r="T92" s="14">
        <f>IF($M92="","",Equipos!$O$3*$M92)</f>
        <v/>
      </c>
      <c r="U92" s="14">
        <f>IFERROR(VLOOKUP($D92,Equipos!$A:$H,6,0),"")</f>
        <v/>
      </c>
      <c r="V92" s="14">
        <f>IFERROR(VLOOKUP($D92,Equipos!$A:$H,7,0),"")</f>
        <v/>
      </c>
      <c r="W92" s="14">
        <f>IFERROR(VLOOKUP($E92,Equipos!$A:$H,6,0),"")</f>
        <v/>
      </c>
      <c r="X92" s="14">
        <f>IFERROR(VLOOKUP($E92,Equipos!$A:$H,7,0),"")</f>
        <v/>
      </c>
      <c r="Y92" s="14">
        <f>IF(OR($U92="",$W92=""),"",MIN(3.6,MAX(1.8,Equipos!$O$2*SQRT($U92*$W92*$V92*$X92))))</f>
        <v/>
      </c>
      <c r="Z92" s="14">
        <f>IF(OR($Y92="",$T92=""),"",MAX(0.2,($Y92+$T92)/2))</f>
        <v/>
      </c>
      <c r="AA92" s="14">
        <f>IF(OR($Y92="",$T92=""),"",MAX(0.2,($Y92-$T92)/2))</f>
        <v/>
      </c>
      <c r="AE92" s="15">
        <f>IF($D92=AE$1,$R92,IF($E92=AE$1,$S92,AE91))</f>
        <v/>
      </c>
      <c r="AF92" s="15">
        <f>IF($D92=AF$1,$R92,IF($E92=AF$1,$S92,AF91))</f>
        <v/>
      </c>
      <c r="AG92" s="15">
        <f>IF($D92=AG$1,$R92,IF($E92=AG$1,$S92,AG91))</f>
        <v/>
      </c>
      <c r="AH92" s="15">
        <f>IF($D92=AH$1,$R92,IF($E92=AH$1,$S92,AH91))</f>
        <v/>
      </c>
      <c r="AI92" s="15">
        <f>IF($D92=AI$1,$R92,IF($E92=AI$1,$S92,AI91))</f>
        <v/>
      </c>
      <c r="AJ92" s="15">
        <f>IF($D92=AJ$1,$R92,IF($E92=AJ$1,$S92,AJ91))</f>
        <v/>
      </c>
      <c r="AK92" s="15">
        <f>IF($D92=AK$1,$R92,IF($E92=AK$1,$S92,AK91))</f>
        <v/>
      </c>
      <c r="AL92" s="15">
        <f>IF($D92=AL$1,$R92,IF($E92=AL$1,$S92,AL91))</f>
        <v/>
      </c>
      <c r="AM92" s="15">
        <f>IF($D92=AM$1,$R92,IF($E92=AM$1,$S92,AM91))</f>
        <v/>
      </c>
      <c r="AN92" s="15">
        <f>IF($D92=AN$1,$R92,IF($E92=AN$1,$S92,AN91))</f>
        <v/>
      </c>
      <c r="AO92" s="15">
        <f>IF($D92=AO$1,$R92,IF($E92=AO$1,$S92,AO91))</f>
        <v/>
      </c>
      <c r="AP92" s="15">
        <f>IF($D92=AP$1,$R92,IF($E92=AP$1,$S92,AP91))</f>
        <v/>
      </c>
      <c r="AQ92" s="15">
        <f>IF($D92=AQ$1,$R92,IF($E92=AQ$1,$S92,AQ91))</f>
        <v/>
      </c>
      <c r="AR92" s="15">
        <f>IF($D92=AR$1,$R92,IF($E92=AR$1,$S92,AR91))</f>
        <v/>
      </c>
      <c r="AS92" s="15">
        <f>IF($D92=AS$1,$R92,IF($E92=AS$1,$S92,AS91))</f>
        <v/>
      </c>
      <c r="AT92" s="15">
        <f>IF($D92=AT$1,$R92,IF($E92=AT$1,$S92,AT91))</f>
        <v/>
      </c>
      <c r="AU92" s="15">
        <f>IF($D92=AU$1,$R92,IF($E92=AU$1,$S92,AU91))</f>
        <v/>
      </c>
      <c r="AV92" s="15">
        <f>IF($D92=AV$1,$R92,IF($E92=AV$1,$S92,AV91))</f>
        <v/>
      </c>
      <c r="AW92" s="15">
        <f>IF($D92=AW$1,$R92,IF($E92=AW$1,$S92,AW91))</f>
        <v/>
      </c>
      <c r="AX92" s="15">
        <f>IF($D92=AX$1,$R92,IF($E92=AX$1,$S92,AX91))</f>
        <v/>
      </c>
      <c r="AY92" s="15">
        <f>IF($D92=AY$1,$R92,IF($E92=AY$1,$S92,AY91))</f>
        <v/>
      </c>
      <c r="AZ92" s="15">
        <f>IF($D92=AZ$1,$R92,IF($E92=AZ$1,$S92,AZ91))</f>
        <v/>
      </c>
      <c r="BA92" s="15">
        <f>IF($D92=BA$1,$R92,IF($E92=BA$1,$S92,BA91))</f>
        <v/>
      </c>
      <c r="BB92" s="15">
        <f>IF($D92=BB$1,$R92,IF($E92=BB$1,$S92,BB91))</f>
        <v/>
      </c>
      <c r="BC92" s="15">
        <f>IF($D92=BC$1,$R92,IF($E92=BC$1,$S92,BC91))</f>
        <v/>
      </c>
      <c r="BD92" s="15">
        <f>IF($D92=BD$1,$R92,IF($E92=BD$1,$S92,BD91))</f>
        <v/>
      </c>
      <c r="BE92" s="15">
        <f>IF($D92=BE$1,$R92,IF($E92=BE$1,$S92,BE91))</f>
        <v/>
      </c>
      <c r="BF92" s="15">
        <f>IF($D92=BF$1,$R92,IF($E92=BF$1,$S92,BF91))</f>
        <v/>
      </c>
      <c r="BG92" s="15">
        <f>IF($D92=BG$1,$R92,IF($E92=BG$1,$S92,BG91))</f>
        <v/>
      </c>
      <c r="BH92" s="15">
        <f>IF($D92=BH$1,$R92,IF($E92=BH$1,$S92,BH91))</f>
        <v/>
      </c>
      <c r="BI92" s="15">
        <f>IF($D92=BI$1,$R92,IF($E92=BI$1,$S92,BI91))</f>
        <v/>
      </c>
      <c r="BJ92" s="15">
        <f>IF($D92=BJ$1,$R92,IF($E92=BJ$1,$S92,BJ91))</f>
        <v/>
      </c>
      <c r="BK92" s="15">
        <f>IF($D92=BK$1,$R92,IF($E92=BK$1,$S92,BK91))</f>
        <v/>
      </c>
      <c r="BL92" s="15">
        <f>IF($D92=BL$1,$R92,IF($E92=BL$1,$S92,BL91))</f>
        <v/>
      </c>
      <c r="BM92" s="15">
        <f>IF($D92=BM$1,$R92,IF($E92=BM$1,$S92,BM91))</f>
        <v/>
      </c>
      <c r="BN92" s="15">
        <f>IF($D92=BN$1,$R92,IF($E92=BN$1,$S92,BN91))</f>
        <v/>
      </c>
      <c r="BO92" s="15">
        <f>IF($D92=BO$1,$R92,IF($E92=BO$1,$S92,BO91))</f>
        <v/>
      </c>
      <c r="BP92" s="15">
        <f>IF($D92=BP$1,$R92,IF($E92=BP$1,$S92,BP91))</f>
        <v/>
      </c>
      <c r="BQ92" s="15">
        <f>IF($D92=BQ$1,$R92,IF($E92=BQ$1,$S92,BQ91))</f>
        <v/>
      </c>
      <c r="BR92" s="15">
        <f>IF($D92=BR$1,$R92,IF($E92=BR$1,$S92,BR91))</f>
        <v/>
      </c>
      <c r="BS92" s="15">
        <f>IF($D92=BS$1,$R92,IF($E92=BS$1,$S92,BS91))</f>
        <v/>
      </c>
      <c r="BT92" s="15">
        <f>IF($D92=BT$1,$R92,IF($E92=BT$1,$S92,BT91))</f>
        <v/>
      </c>
      <c r="BU92" s="15">
        <f>IF($D92=BU$1,$R92,IF($E92=BU$1,$S92,BU91))</f>
        <v/>
      </c>
      <c r="BV92" s="15">
        <f>IF($D92=BV$1,$R92,IF($E92=BV$1,$S92,BV91))</f>
        <v/>
      </c>
      <c r="BW92" s="15">
        <f>IF($D92=BW$1,$R92,IF($E92=BW$1,$S92,BW91))</f>
        <v/>
      </c>
      <c r="BX92" s="15">
        <f>IF($D92=BX$1,$R92,IF($E92=BX$1,$S92,BX91))</f>
        <v/>
      </c>
      <c r="BY92" s="15">
        <f>IF($D92=BY$1,$R92,IF($E92=BY$1,$S92,BY91))</f>
        <v/>
      </c>
      <c r="BZ92" s="15">
        <f>IF($D92=BZ$1,$R92,IF($E92=BZ$1,$S92,BZ91))</f>
        <v/>
      </c>
    </row>
    <row r="93" ht="15" customHeight="1">
      <c r="A93" s="7">
        <f>Fixture!A92</f>
        <v/>
      </c>
      <c r="B93" s="7">
        <f>Fixture!B92</f>
        <v/>
      </c>
      <c r="C93" s="7">
        <f>Fixture!C92</f>
        <v/>
      </c>
      <c r="D93" s="7">
        <f>Fixture!E92</f>
        <v/>
      </c>
      <c r="E93" s="7">
        <f>Fixture!F92</f>
        <v/>
      </c>
      <c r="F93" s="7">
        <f>Fixture!J92</f>
        <v/>
      </c>
      <c r="G93" s="7">
        <f>Fixture!K92</f>
        <v/>
      </c>
      <c r="H93" s="7">
        <f>IF(ISNUMBER(Resultados!B92),1,0)</f>
        <v/>
      </c>
      <c r="I93" s="7">
        <f>IF($H93=1,Resultados!B92,0)</f>
        <v/>
      </c>
      <c r="J93" s="7">
        <f>IF($H93=1,Resultados!C92,0)</f>
        <v/>
      </c>
      <c r="K93" s="12">
        <f>IFERROR(INDEX($AE92:$BZ92,MATCH($D93,$AE$1:$BZ$1,0)),"")</f>
        <v/>
      </c>
      <c r="L93" s="12">
        <f>IFERROR(INDEX($AE92:$BZ92,MATCH($E93,$AE$1:$BZ$1,0)),"")</f>
        <v/>
      </c>
      <c r="M93" s="12">
        <f>IF(OR($K93="",$L93=""),"",($K93+100*$F93)-($L93+100*$G93))</f>
        <v/>
      </c>
      <c r="N93" s="13">
        <f>IF($M93="","",1/(1+10^(-$M93/400)))</f>
        <v/>
      </c>
      <c r="O93" s="7">
        <f>IF(OR($H93=0,$N93=""),"",IF($I93&gt;$J93,1,IF($I93=$J93,0.5,0)))</f>
        <v/>
      </c>
      <c r="P93" s="14">
        <f>IF($O93="","",IF(ABS($I93-$J93)&lt;=1,1,IF(ABS($I93-$J93)=2,1.5,IF(ABS($I93-$J93)=3,1.75,1.75+(ABS($I93-$J93)-3)/8))))</f>
        <v/>
      </c>
      <c r="Q93" s="14">
        <f>IF($O93="",0,Equipos!$O$4*$P93*($O93-$N93))</f>
        <v/>
      </c>
      <c r="R93" s="12">
        <f>IF($K93="","",$K93+$Q93)</f>
        <v/>
      </c>
      <c r="S93" s="12">
        <f>IF($L93="","",$L93-$Q93)</f>
        <v/>
      </c>
      <c r="T93" s="14">
        <f>IF($M93="","",Equipos!$O$3*$M93)</f>
        <v/>
      </c>
      <c r="U93" s="14">
        <f>IFERROR(VLOOKUP($D93,Equipos!$A:$H,6,0),"")</f>
        <v/>
      </c>
      <c r="V93" s="14">
        <f>IFERROR(VLOOKUP($D93,Equipos!$A:$H,7,0),"")</f>
        <v/>
      </c>
      <c r="W93" s="14">
        <f>IFERROR(VLOOKUP($E93,Equipos!$A:$H,6,0),"")</f>
        <v/>
      </c>
      <c r="X93" s="14">
        <f>IFERROR(VLOOKUP($E93,Equipos!$A:$H,7,0),"")</f>
        <v/>
      </c>
      <c r="Y93" s="14">
        <f>IF(OR($U93="",$W93=""),"",MIN(3.6,MAX(1.8,Equipos!$O$2*SQRT($U93*$W93*$V93*$X93))))</f>
        <v/>
      </c>
      <c r="Z93" s="14">
        <f>IF(OR($Y93="",$T93=""),"",MAX(0.2,($Y93+$T93)/2))</f>
        <v/>
      </c>
      <c r="AA93" s="14">
        <f>IF(OR($Y93="",$T93=""),"",MAX(0.2,($Y93-$T93)/2))</f>
        <v/>
      </c>
      <c r="AE93" s="15">
        <f>IF($D93=AE$1,$R93,IF($E93=AE$1,$S93,AE92))</f>
        <v/>
      </c>
      <c r="AF93" s="15">
        <f>IF($D93=AF$1,$R93,IF($E93=AF$1,$S93,AF92))</f>
        <v/>
      </c>
      <c r="AG93" s="15">
        <f>IF($D93=AG$1,$R93,IF($E93=AG$1,$S93,AG92))</f>
        <v/>
      </c>
      <c r="AH93" s="15">
        <f>IF($D93=AH$1,$R93,IF($E93=AH$1,$S93,AH92))</f>
        <v/>
      </c>
      <c r="AI93" s="15">
        <f>IF($D93=AI$1,$R93,IF($E93=AI$1,$S93,AI92))</f>
        <v/>
      </c>
      <c r="AJ93" s="15">
        <f>IF($D93=AJ$1,$R93,IF($E93=AJ$1,$S93,AJ92))</f>
        <v/>
      </c>
      <c r="AK93" s="15">
        <f>IF($D93=AK$1,$R93,IF($E93=AK$1,$S93,AK92))</f>
        <v/>
      </c>
      <c r="AL93" s="15">
        <f>IF($D93=AL$1,$R93,IF($E93=AL$1,$S93,AL92))</f>
        <v/>
      </c>
      <c r="AM93" s="15">
        <f>IF($D93=AM$1,$R93,IF($E93=AM$1,$S93,AM92))</f>
        <v/>
      </c>
      <c r="AN93" s="15">
        <f>IF($D93=AN$1,$R93,IF($E93=AN$1,$S93,AN92))</f>
        <v/>
      </c>
      <c r="AO93" s="15">
        <f>IF($D93=AO$1,$R93,IF($E93=AO$1,$S93,AO92))</f>
        <v/>
      </c>
      <c r="AP93" s="15">
        <f>IF($D93=AP$1,$R93,IF($E93=AP$1,$S93,AP92))</f>
        <v/>
      </c>
      <c r="AQ93" s="15">
        <f>IF($D93=AQ$1,$R93,IF($E93=AQ$1,$S93,AQ92))</f>
        <v/>
      </c>
      <c r="AR93" s="15">
        <f>IF($D93=AR$1,$R93,IF($E93=AR$1,$S93,AR92))</f>
        <v/>
      </c>
      <c r="AS93" s="15">
        <f>IF($D93=AS$1,$R93,IF($E93=AS$1,$S93,AS92))</f>
        <v/>
      </c>
      <c r="AT93" s="15">
        <f>IF($D93=AT$1,$R93,IF($E93=AT$1,$S93,AT92))</f>
        <v/>
      </c>
      <c r="AU93" s="15">
        <f>IF($D93=AU$1,$R93,IF($E93=AU$1,$S93,AU92))</f>
        <v/>
      </c>
      <c r="AV93" s="15">
        <f>IF($D93=AV$1,$R93,IF($E93=AV$1,$S93,AV92))</f>
        <v/>
      </c>
      <c r="AW93" s="15">
        <f>IF($D93=AW$1,$R93,IF($E93=AW$1,$S93,AW92))</f>
        <v/>
      </c>
      <c r="AX93" s="15">
        <f>IF($D93=AX$1,$R93,IF($E93=AX$1,$S93,AX92))</f>
        <v/>
      </c>
      <c r="AY93" s="15">
        <f>IF($D93=AY$1,$R93,IF($E93=AY$1,$S93,AY92))</f>
        <v/>
      </c>
      <c r="AZ93" s="15">
        <f>IF($D93=AZ$1,$R93,IF($E93=AZ$1,$S93,AZ92))</f>
        <v/>
      </c>
      <c r="BA93" s="15">
        <f>IF($D93=BA$1,$R93,IF($E93=BA$1,$S93,BA92))</f>
        <v/>
      </c>
      <c r="BB93" s="15">
        <f>IF($D93=BB$1,$R93,IF($E93=BB$1,$S93,BB92))</f>
        <v/>
      </c>
      <c r="BC93" s="15">
        <f>IF($D93=BC$1,$R93,IF($E93=BC$1,$S93,BC92))</f>
        <v/>
      </c>
      <c r="BD93" s="15">
        <f>IF($D93=BD$1,$R93,IF($E93=BD$1,$S93,BD92))</f>
        <v/>
      </c>
      <c r="BE93" s="15">
        <f>IF($D93=BE$1,$R93,IF($E93=BE$1,$S93,BE92))</f>
        <v/>
      </c>
      <c r="BF93" s="15">
        <f>IF($D93=BF$1,$R93,IF($E93=BF$1,$S93,BF92))</f>
        <v/>
      </c>
      <c r="BG93" s="15">
        <f>IF($D93=BG$1,$R93,IF($E93=BG$1,$S93,BG92))</f>
        <v/>
      </c>
      <c r="BH93" s="15">
        <f>IF($D93=BH$1,$R93,IF($E93=BH$1,$S93,BH92))</f>
        <v/>
      </c>
      <c r="BI93" s="15">
        <f>IF($D93=BI$1,$R93,IF($E93=BI$1,$S93,BI92))</f>
        <v/>
      </c>
      <c r="BJ93" s="15">
        <f>IF($D93=BJ$1,$R93,IF($E93=BJ$1,$S93,BJ92))</f>
        <v/>
      </c>
      <c r="BK93" s="15">
        <f>IF($D93=BK$1,$R93,IF($E93=BK$1,$S93,BK92))</f>
        <v/>
      </c>
      <c r="BL93" s="15">
        <f>IF($D93=BL$1,$R93,IF($E93=BL$1,$S93,BL92))</f>
        <v/>
      </c>
      <c r="BM93" s="15">
        <f>IF($D93=BM$1,$R93,IF($E93=BM$1,$S93,BM92))</f>
        <v/>
      </c>
      <c r="BN93" s="15">
        <f>IF($D93=BN$1,$R93,IF($E93=BN$1,$S93,BN92))</f>
        <v/>
      </c>
      <c r="BO93" s="15">
        <f>IF($D93=BO$1,$R93,IF($E93=BO$1,$S93,BO92))</f>
        <v/>
      </c>
      <c r="BP93" s="15">
        <f>IF($D93=BP$1,$R93,IF($E93=BP$1,$S93,BP92))</f>
        <v/>
      </c>
      <c r="BQ93" s="15">
        <f>IF($D93=BQ$1,$R93,IF($E93=BQ$1,$S93,BQ92))</f>
        <v/>
      </c>
      <c r="BR93" s="15">
        <f>IF($D93=BR$1,$R93,IF($E93=BR$1,$S93,BR92))</f>
        <v/>
      </c>
      <c r="BS93" s="15">
        <f>IF($D93=BS$1,$R93,IF($E93=BS$1,$S93,BS92))</f>
        <v/>
      </c>
      <c r="BT93" s="15">
        <f>IF($D93=BT$1,$R93,IF($E93=BT$1,$S93,BT92))</f>
        <v/>
      </c>
      <c r="BU93" s="15">
        <f>IF($D93=BU$1,$R93,IF($E93=BU$1,$S93,BU92))</f>
        <v/>
      </c>
      <c r="BV93" s="15">
        <f>IF($D93=BV$1,$R93,IF($E93=BV$1,$S93,BV92))</f>
        <v/>
      </c>
      <c r="BW93" s="15">
        <f>IF($D93=BW$1,$R93,IF($E93=BW$1,$S93,BW92))</f>
        <v/>
      </c>
      <c r="BX93" s="15">
        <f>IF($D93=BX$1,$R93,IF($E93=BX$1,$S93,BX92))</f>
        <v/>
      </c>
      <c r="BY93" s="15">
        <f>IF($D93=BY$1,$R93,IF($E93=BY$1,$S93,BY92))</f>
        <v/>
      </c>
      <c r="BZ93" s="15">
        <f>IF($D93=BZ$1,$R93,IF($E93=BZ$1,$S93,BZ92))</f>
        <v/>
      </c>
    </row>
    <row r="94" ht="15" customHeight="1">
      <c r="A94" s="7">
        <f>Fixture!A93</f>
        <v/>
      </c>
      <c r="B94" s="7">
        <f>Fixture!B93</f>
        <v/>
      </c>
      <c r="C94" s="7">
        <f>Fixture!C93</f>
        <v/>
      </c>
      <c r="D94" s="7">
        <f>Fixture!E93</f>
        <v/>
      </c>
      <c r="E94" s="7">
        <f>Fixture!F93</f>
        <v/>
      </c>
      <c r="F94" s="7">
        <f>Fixture!J93</f>
        <v/>
      </c>
      <c r="G94" s="7">
        <f>Fixture!K93</f>
        <v/>
      </c>
      <c r="H94" s="7">
        <f>IF(ISNUMBER(Resultados!B93),1,0)</f>
        <v/>
      </c>
      <c r="I94" s="7">
        <f>IF($H94=1,Resultados!B93,0)</f>
        <v/>
      </c>
      <c r="J94" s="7">
        <f>IF($H94=1,Resultados!C93,0)</f>
        <v/>
      </c>
      <c r="K94" s="12">
        <f>IFERROR(INDEX($AE93:$BZ93,MATCH($D94,$AE$1:$BZ$1,0)),"")</f>
        <v/>
      </c>
      <c r="L94" s="12">
        <f>IFERROR(INDEX($AE93:$BZ93,MATCH($E94,$AE$1:$BZ$1,0)),"")</f>
        <v/>
      </c>
      <c r="M94" s="12">
        <f>IF(OR($K94="",$L94=""),"",($K94+100*$F94)-($L94+100*$G94))</f>
        <v/>
      </c>
      <c r="N94" s="13">
        <f>IF($M94="","",1/(1+10^(-$M94/400)))</f>
        <v/>
      </c>
      <c r="O94" s="7">
        <f>IF(OR($H94=0,$N94=""),"",IF($I94&gt;$J94,1,IF($I94=$J94,0.5,0)))</f>
        <v/>
      </c>
      <c r="P94" s="14">
        <f>IF($O94="","",IF(ABS($I94-$J94)&lt;=1,1,IF(ABS($I94-$J94)=2,1.5,IF(ABS($I94-$J94)=3,1.75,1.75+(ABS($I94-$J94)-3)/8))))</f>
        <v/>
      </c>
      <c r="Q94" s="14">
        <f>IF($O94="",0,Equipos!$O$4*$P94*($O94-$N94))</f>
        <v/>
      </c>
      <c r="R94" s="12">
        <f>IF($K94="","",$K94+$Q94)</f>
        <v/>
      </c>
      <c r="S94" s="12">
        <f>IF($L94="","",$L94-$Q94)</f>
        <v/>
      </c>
      <c r="T94" s="14">
        <f>IF($M94="","",Equipos!$O$3*$M94)</f>
        <v/>
      </c>
      <c r="U94" s="14">
        <f>IFERROR(VLOOKUP($D94,Equipos!$A:$H,6,0),"")</f>
        <v/>
      </c>
      <c r="V94" s="14">
        <f>IFERROR(VLOOKUP($D94,Equipos!$A:$H,7,0),"")</f>
        <v/>
      </c>
      <c r="W94" s="14">
        <f>IFERROR(VLOOKUP($E94,Equipos!$A:$H,6,0),"")</f>
        <v/>
      </c>
      <c r="X94" s="14">
        <f>IFERROR(VLOOKUP($E94,Equipos!$A:$H,7,0),"")</f>
        <v/>
      </c>
      <c r="Y94" s="14">
        <f>IF(OR($U94="",$W94=""),"",MIN(3.6,MAX(1.8,Equipos!$O$2*SQRT($U94*$W94*$V94*$X94))))</f>
        <v/>
      </c>
      <c r="Z94" s="14">
        <f>IF(OR($Y94="",$T94=""),"",MAX(0.2,($Y94+$T94)/2))</f>
        <v/>
      </c>
      <c r="AA94" s="14">
        <f>IF(OR($Y94="",$T94=""),"",MAX(0.2,($Y94-$T94)/2))</f>
        <v/>
      </c>
      <c r="AE94" s="15">
        <f>IF($D94=AE$1,$R94,IF($E94=AE$1,$S94,AE93))</f>
        <v/>
      </c>
      <c r="AF94" s="15">
        <f>IF($D94=AF$1,$R94,IF($E94=AF$1,$S94,AF93))</f>
        <v/>
      </c>
      <c r="AG94" s="15">
        <f>IF($D94=AG$1,$R94,IF($E94=AG$1,$S94,AG93))</f>
        <v/>
      </c>
      <c r="AH94" s="15">
        <f>IF($D94=AH$1,$R94,IF($E94=AH$1,$S94,AH93))</f>
        <v/>
      </c>
      <c r="AI94" s="15">
        <f>IF($D94=AI$1,$R94,IF($E94=AI$1,$S94,AI93))</f>
        <v/>
      </c>
      <c r="AJ94" s="15">
        <f>IF($D94=AJ$1,$R94,IF($E94=AJ$1,$S94,AJ93))</f>
        <v/>
      </c>
      <c r="AK94" s="15">
        <f>IF($D94=AK$1,$R94,IF($E94=AK$1,$S94,AK93))</f>
        <v/>
      </c>
      <c r="AL94" s="15">
        <f>IF($D94=AL$1,$R94,IF($E94=AL$1,$S94,AL93))</f>
        <v/>
      </c>
      <c r="AM94" s="15">
        <f>IF($D94=AM$1,$R94,IF($E94=AM$1,$S94,AM93))</f>
        <v/>
      </c>
      <c r="AN94" s="15">
        <f>IF($D94=AN$1,$R94,IF($E94=AN$1,$S94,AN93))</f>
        <v/>
      </c>
      <c r="AO94" s="15">
        <f>IF($D94=AO$1,$R94,IF($E94=AO$1,$S94,AO93))</f>
        <v/>
      </c>
      <c r="AP94" s="15">
        <f>IF($D94=AP$1,$R94,IF($E94=AP$1,$S94,AP93))</f>
        <v/>
      </c>
      <c r="AQ94" s="15">
        <f>IF($D94=AQ$1,$R94,IF($E94=AQ$1,$S94,AQ93))</f>
        <v/>
      </c>
      <c r="AR94" s="15">
        <f>IF($D94=AR$1,$R94,IF($E94=AR$1,$S94,AR93))</f>
        <v/>
      </c>
      <c r="AS94" s="15">
        <f>IF($D94=AS$1,$R94,IF($E94=AS$1,$S94,AS93))</f>
        <v/>
      </c>
      <c r="AT94" s="15">
        <f>IF($D94=AT$1,$R94,IF($E94=AT$1,$S94,AT93))</f>
        <v/>
      </c>
      <c r="AU94" s="15">
        <f>IF($D94=AU$1,$R94,IF($E94=AU$1,$S94,AU93))</f>
        <v/>
      </c>
      <c r="AV94" s="15">
        <f>IF($D94=AV$1,$R94,IF($E94=AV$1,$S94,AV93))</f>
        <v/>
      </c>
      <c r="AW94" s="15">
        <f>IF($D94=AW$1,$R94,IF($E94=AW$1,$S94,AW93))</f>
        <v/>
      </c>
      <c r="AX94" s="15">
        <f>IF($D94=AX$1,$R94,IF($E94=AX$1,$S94,AX93))</f>
        <v/>
      </c>
      <c r="AY94" s="15">
        <f>IF($D94=AY$1,$R94,IF($E94=AY$1,$S94,AY93))</f>
        <v/>
      </c>
      <c r="AZ94" s="15">
        <f>IF($D94=AZ$1,$R94,IF($E94=AZ$1,$S94,AZ93))</f>
        <v/>
      </c>
      <c r="BA94" s="15">
        <f>IF($D94=BA$1,$R94,IF($E94=BA$1,$S94,BA93))</f>
        <v/>
      </c>
      <c r="BB94" s="15">
        <f>IF($D94=BB$1,$R94,IF($E94=BB$1,$S94,BB93))</f>
        <v/>
      </c>
      <c r="BC94" s="15">
        <f>IF($D94=BC$1,$R94,IF($E94=BC$1,$S94,BC93))</f>
        <v/>
      </c>
      <c r="BD94" s="15">
        <f>IF($D94=BD$1,$R94,IF($E94=BD$1,$S94,BD93))</f>
        <v/>
      </c>
      <c r="BE94" s="15">
        <f>IF($D94=BE$1,$R94,IF($E94=BE$1,$S94,BE93))</f>
        <v/>
      </c>
      <c r="BF94" s="15">
        <f>IF($D94=BF$1,$R94,IF($E94=BF$1,$S94,BF93))</f>
        <v/>
      </c>
      <c r="BG94" s="15">
        <f>IF($D94=BG$1,$R94,IF($E94=BG$1,$S94,BG93))</f>
        <v/>
      </c>
      <c r="BH94" s="15">
        <f>IF($D94=BH$1,$R94,IF($E94=BH$1,$S94,BH93))</f>
        <v/>
      </c>
      <c r="BI94" s="15">
        <f>IF($D94=BI$1,$R94,IF($E94=BI$1,$S94,BI93))</f>
        <v/>
      </c>
      <c r="BJ94" s="15">
        <f>IF($D94=BJ$1,$R94,IF($E94=BJ$1,$S94,BJ93))</f>
        <v/>
      </c>
      <c r="BK94" s="15">
        <f>IF($D94=BK$1,$R94,IF($E94=BK$1,$S94,BK93))</f>
        <v/>
      </c>
      <c r="BL94" s="15">
        <f>IF($D94=BL$1,$R94,IF($E94=BL$1,$S94,BL93))</f>
        <v/>
      </c>
      <c r="BM94" s="15">
        <f>IF($D94=BM$1,$R94,IF($E94=BM$1,$S94,BM93))</f>
        <v/>
      </c>
      <c r="BN94" s="15">
        <f>IF($D94=BN$1,$R94,IF($E94=BN$1,$S94,BN93))</f>
        <v/>
      </c>
      <c r="BO94" s="15">
        <f>IF($D94=BO$1,$R94,IF($E94=BO$1,$S94,BO93))</f>
        <v/>
      </c>
      <c r="BP94" s="15">
        <f>IF($D94=BP$1,$R94,IF($E94=BP$1,$S94,BP93))</f>
        <v/>
      </c>
      <c r="BQ94" s="15">
        <f>IF($D94=BQ$1,$R94,IF($E94=BQ$1,$S94,BQ93))</f>
        <v/>
      </c>
      <c r="BR94" s="15">
        <f>IF($D94=BR$1,$R94,IF($E94=BR$1,$S94,BR93))</f>
        <v/>
      </c>
      <c r="BS94" s="15">
        <f>IF($D94=BS$1,$R94,IF($E94=BS$1,$S94,BS93))</f>
        <v/>
      </c>
      <c r="BT94" s="15">
        <f>IF($D94=BT$1,$R94,IF($E94=BT$1,$S94,BT93))</f>
        <v/>
      </c>
      <c r="BU94" s="15">
        <f>IF($D94=BU$1,$R94,IF($E94=BU$1,$S94,BU93))</f>
        <v/>
      </c>
      <c r="BV94" s="15">
        <f>IF($D94=BV$1,$R94,IF($E94=BV$1,$S94,BV93))</f>
        <v/>
      </c>
      <c r="BW94" s="15">
        <f>IF($D94=BW$1,$R94,IF($E94=BW$1,$S94,BW93))</f>
        <v/>
      </c>
      <c r="BX94" s="15">
        <f>IF($D94=BX$1,$R94,IF($E94=BX$1,$S94,BX93))</f>
        <v/>
      </c>
      <c r="BY94" s="15">
        <f>IF($D94=BY$1,$R94,IF($E94=BY$1,$S94,BY93))</f>
        <v/>
      </c>
      <c r="BZ94" s="15">
        <f>IF($D94=BZ$1,$R94,IF($E94=BZ$1,$S94,BZ93))</f>
        <v/>
      </c>
    </row>
    <row r="95" ht="15" customHeight="1">
      <c r="A95" s="7">
        <f>Fixture!A94</f>
        <v/>
      </c>
      <c r="B95" s="7">
        <f>Fixture!B94</f>
        <v/>
      </c>
      <c r="C95" s="7">
        <f>Fixture!C94</f>
        <v/>
      </c>
      <c r="D95" s="7">
        <f>Fixture!E94</f>
        <v/>
      </c>
      <c r="E95" s="7">
        <f>Fixture!F94</f>
        <v/>
      </c>
      <c r="F95" s="7">
        <f>Fixture!J94</f>
        <v/>
      </c>
      <c r="G95" s="7">
        <f>Fixture!K94</f>
        <v/>
      </c>
      <c r="H95" s="7">
        <f>IF(ISNUMBER(Resultados!B94),1,0)</f>
        <v/>
      </c>
      <c r="I95" s="7">
        <f>IF($H95=1,Resultados!B94,0)</f>
        <v/>
      </c>
      <c r="J95" s="7">
        <f>IF($H95=1,Resultados!C94,0)</f>
        <v/>
      </c>
      <c r="K95" s="12">
        <f>IFERROR(INDEX($AE94:$BZ94,MATCH($D95,$AE$1:$BZ$1,0)),"")</f>
        <v/>
      </c>
      <c r="L95" s="12">
        <f>IFERROR(INDEX($AE94:$BZ94,MATCH($E95,$AE$1:$BZ$1,0)),"")</f>
        <v/>
      </c>
      <c r="M95" s="12">
        <f>IF(OR($K95="",$L95=""),"",($K95+100*$F95)-($L95+100*$G95))</f>
        <v/>
      </c>
      <c r="N95" s="13">
        <f>IF($M95="","",1/(1+10^(-$M95/400)))</f>
        <v/>
      </c>
      <c r="O95" s="7">
        <f>IF(OR($H95=0,$N95=""),"",IF($I95&gt;$J95,1,IF($I95=$J95,0.5,0)))</f>
        <v/>
      </c>
      <c r="P95" s="14">
        <f>IF($O95="","",IF(ABS($I95-$J95)&lt;=1,1,IF(ABS($I95-$J95)=2,1.5,IF(ABS($I95-$J95)=3,1.75,1.75+(ABS($I95-$J95)-3)/8))))</f>
        <v/>
      </c>
      <c r="Q95" s="14">
        <f>IF($O95="",0,Equipos!$O$4*$P95*($O95-$N95))</f>
        <v/>
      </c>
      <c r="R95" s="12">
        <f>IF($K95="","",$K95+$Q95)</f>
        <v/>
      </c>
      <c r="S95" s="12">
        <f>IF($L95="","",$L95-$Q95)</f>
        <v/>
      </c>
      <c r="T95" s="14">
        <f>IF($M95="","",Equipos!$O$3*$M95)</f>
        <v/>
      </c>
      <c r="U95" s="14">
        <f>IFERROR(VLOOKUP($D95,Equipos!$A:$H,6,0),"")</f>
        <v/>
      </c>
      <c r="V95" s="14">
        <f>IFERROR(VLOOKUP($D95,Equipos!$A:$H,7,0),"")</f>
        <v/>
      </c>
      <c r="W95" s="14">
        <f>IFERROR(VLOOKUP($E95,Equipos!$A:$H,6,0),"")</f>
        <v/>
      </c>
      <c r="X95" s="14">
        <f>IFERROR(VLOOKUP($E95,Equipos!$A:$H,7,0),"")</f>
        <v/>
      </c>
      <c r="Y95" s="14">
        <f>IF(OR($U95="",$W95=""),"",MIN(3.6,MAX(1.8,Equipos!$O$2*SQRT($U95*$W95*$V95*$X95))))</f>
        <v/>
      </c>
      <c r="Z95" s="14">
        <f>IF(OR($Y95="",$T95=""),"",MAX(0.2,($Y95+$T95)/2))</f>
        <v/>
      </c>
      <c r="AA95" s="14">
        <f>IF(OR($Y95="",$T95=""),"",MAX(0.2,($Y95-$T95)/2))</f>
        <v/>
      </c>
      <c r="AE95" s="15">
        <f>IF($D95=AE$1,$R95,IF($E95=AE$1,$S95,AE94))</f>
        <v/>
      </c>
      <c r="AF95" s="15">
        <f>IF($D95=AF$1,$R95,IF($E95=AF$1,$S95,AF94))</f>
        <v/>
      </c>
      <c r="AG95" s="15">
        <f>IF($D95=AG$1,$R95,IF($E95=AG$1,$S95,AG94))</f>
        <v/>
      </c>
      <c r="AH95" s="15">
        <f>IF($D95=AH$1,$R95,IF($E95=AH$1,$S95,AH94))</f>
        <v/>
      </c>
      <c r="AI95" s="15">
        <f>IF($D95=AI$1,$R95,IF($E95=AI$1,$S95,AI94))</f>
        <v/>
      </c>
      <c r="AJ95" s="15">
        <f>IF($D95=AJ$1,$R95,IF($E95=AJ$1,$S95,AJ94))</f>
        <v/>
      </c>
      <c r="AK95" s="15">
        <f>IF($D95=AK$1,$R95,IF($E95=AK$1,$S95,AK94))</f>
        <v/>
      </c>
      <c r="AL95" s="15">
        <f>IF($D95=AL$1,$R95,IF($E95=AL$1,$S95,AL94))</f>
        <v/>
      </c>
      <c r="AM95" s="15">
        <f>IF($D95=AM$1,$R95,IF($E95=AM$1,$S95,AM94))</f>
        <v/>
      </c>
      <c r="AN95" s="15">
        <f>IF($D95=AN$1,$R95,IF($E95=AN$1,$S95,AN94))</f>
        <v/>
      </c>
      <c r="AO95" s="15">
        <f>IF($D95=AO$1,$R95,IF($E95=AO$1,$S95,AO94))</f>
        <v/>
      </c>
      <c r="AP95" s="15">
        <f>IF($D95=AP$1,$R95,IF($E95=AP$1,$S95,AP94))</f>
        <v/>
      </c>
      <c r="AQ95" s="15">
        <f>IF($D95=AQ$1,$R95,IF($E95=AQ$1,$S95,AQ94))</f>
        <v/>
      </c>
      <c r="AR95" s="15">
        <f>IF($D95=AR$1,$R95,IF($E95=AR$1,$S95,AR94))</f>
        <v/>
      </c>
      <c r="AS95" s="15">
        <f>IF($D95=AS$1,$R95,IF($E95=AS$1,$S95,AS94))</f>
        <v/>
      </c>
      <c r="AT95" s="15">
        <f>IF($D95=AT$1,$R95,IF($E95=AT$1,$S95,AT94))</f>
        <v/>
      </c>
      <c r="AU95" s="15">
        <f>IF($D95=AU$1,$R95,IF($E95=AU$1,$S95,AU94))</f>
        <v/>
      </c>
      <c r="AV95" s="15">
        <f>IF($D95=AV$1,$R95,IF($E95=AV$1,$S95,AV94))</f>
        <v/>
      </c>
      <c r="AW95" s="15">
        <f>IF($D95=AW$1,$R95,IF($E95=AW$1,$S95,AW94))</f>
        <v/>
      </c>
      <c r="AX95" s="15">
        <f>IF($D95=AX$1,$R95,IF($E95=AX$1,$S95,AX94))</f>
        <v/>
      </c>
      <c r="AY95" s="15">
        <f>IF($D95=AY$1,$R95,IF($E95=AY$1,$S95,AY94))</f>
        <v/>
      </c>
      <c r="AZ95" s="15">
        <f>IF($D95=AZ$1,$R95,IF($E95=AZ$1,$S95,AZ94))</f>
        <v/>
      </c>
      <c r="BA95" s="15">
        <f>IF($D95=BA$1,$R95,IF($E95=BA$1,$S95,BA94))</f>
        <v/>
      </c>
      <c r="BB95" s="15">
        <f>IF($D95=BB$1,$R95,IF($E95=BB$1,$S95,BB94))</f>
        <v/>
      </c>
      <c r="BC95" s="15">
        <f>IF($D95=BC$1,$R95,IF($E95=BC$1,$S95,BC94))</f>
        <v/>
      </c>
      <c r="BD95" s="15">
        <f>IF($D95=BD$1,$R95,IF($E95=BD$1,$S95,BD94))</f>
        <v/>
      </c>
      <c r="BE95" s="15">
        <f>IF($D95=BE$1,$R95,IF($E95=BE$1,$S95,BE94))</f>
        <v/>
      </c>
      <c r="BF95" s="15">
        <f>IF($D95=BF$1,$R95,IF($E95=BF$1,$S95,BF94))</f>
        <v/>
      </c>
      <c r="BG95" s="15">
        <f>IF($D95=BG$1,$R95,IF($E95=BG$1,$S95,BG94))</f>
        <v/>
      </c>
      <c r="BH95" s="15">
        <f>IF($D95=BH$1,$R95,IF($E95=BH$1,$S95,BH94))</f>
        <v/>
      </c>
      <c r="BI95" s="15">
        <f>IF($D95=BI$1,$R95,IF($E95=BI$1,$S95,BI94))</f>
        <v/>
      </c>
      <c r="BJ95" s="15">
        <f>IF($D95=BJ$1,$R95,IF($E95=BJ$1,$S95,BJ94))</f>
        <v/>
      </c>
      <c r="BK95" s="15">
        <f>IF($D95=BK$1,$R95,IF($E95=BK$1,$S95,BK94))</f>
        <v/>
      </c>
      <c r="BL95" s="15">
        <f>IF($D95=BL$1,$R95,IF($E95=BL$1,$S95,BL94))</f>
        <v/>
      </c>
      <c r="BM95" s="15">
        <f>IF($D95=BM$1,$R95,IF($E95=BM$1,$S95,BM94))</f>
        <v/>
      </c>
      <c r="BN95" s="15">
        <f>IF($D95=BN$1,$R95,IF($E95=BN$1,$S95,BN94))</f>
        <v/>
      </c>
      <c r="BO95" s="15">
        <f>IF($D95=BO$1,$R95,IF($E95=BO$1,$S95,BO94))</f>
        <v/>
      </c>
      <c r="BP95" s="15">
        <f>IF($D95=BP$1,$R95,IF($E95=BP$1,$S95,BP94))</f>
        <v/>
      </c>
      <c r="BQ95" s="15">
        <f>IF($D95=BQ$1,$R95,IF($E95=BQ$1,$S95,BQ94))</f>
        <v/>
      </c>
      <c r="BR95" s="15">
        <f>IF($D95=BR$1,$R95,IF($E95=BR$1,$S95,BR94))</f>
        <v/>
      </c>
      <c r="BS95" s="15">
        <f>IF($D95=BS$1,$R95,IF($E95=BS$1,$S95,BS94))</f>
        <v/>
      </c>
      <c r="BT95" s="15">
        <f>IF($D95=BT$1,$R95,IF($E95=BT$1,$S95,BT94))</f>
        <v/>
      </c>
      <c r="BU95" s="15">
        <f>IF($D95=BU$1,$R95,IF($E95=BU$1,$S95,BU94))</f>
        <v/>
      </c>
      <c r="BV95" s="15">
        <f>IF($D95=BV$1,$R95,IF($E95=BV$1,$S95,BV94))</f>
        <v/>
      </c>
      <c r="BW95" s="15">
        <f>IF($D95=BW$1,$R95,IF($E95=BW$1,$S95,BW94))</f>
        <v/>
      </c>
      <c r="BX95" s="15">
        <f>IF($D95=BX$1,$R95,IF($E95=BX$1,$S95,BX94))</f>
        <v/>
      </c>
      <c r="BY95" s="15">
        <f>IF($D95=BY$1,$R95,IF($E95=BY$1,$S95,BY94))</f>
        <v/>
      </c>
      <c r="BZ95" s="15">
        <f>IF($D95=BZ$1,$R95,IF($E95=BZ$1,$S95,BZ94))</f>
        <v/>
      </c>
    </row>
    <row r="96" ht="15" customHeight="1">
      <c r="A96" s="7">
        <f>Fixture!A95</f>
        <v/>
      </c>
      <c r="B96" s="7">
        <f>Fixture!B95</f>
        <v/>
      </c>
      <c r="C96" s="7">
        <f>Fixture!C95</f>
        <v/>
      </c>
      <c r="D96" s="7">
        <f>Fixture!E95</f>
        <v/>
      </c>
      <c r="E96" s="7">
        <f>Fixture!F95</f>
        <v/>
      </c>
      <c r="F96" s="7">
        <f>Fixture!J95</f>
        <v/>
      </c>
      <c r="G96" s="7">
        <f>Fixture!K95</f>
        <v/>
      </c>
      <c r="H96" s="7">
        <f>IF(ISNUMBER(Resultados!B95),1,0)</f>
        <v/>
      </c>
      <c r="I96" s="7">
        <f>IF($H96=1,Resultados!B95,0)</f>
        <v/>
      </c>
      <c r="J96" s="7">
        <f>IF($H96=1,Resultados!C95,0)</f>
        <v/>
      </c>
      <c r="K96" s="12">
        <f>IFERROR(INDEX($AE95:$BZ95,MATCH($D96,$AE$1:$BZ$1,0)),"")</f>
        <v/>
      </c>
      <c r="L96" s="12">
        <f>IFERROR(INDEX($AE95:$BZ95,MATCH($E96,$AE$1:$BZ$1,0)),"")</f>
        <v/>
      </c>
      <c r="M96" s="12">
        <f>IF(OR($K96="",$L96=""),"",($K96+100*$F96)-($L96+100*$G96))</f>
        <v/>
      </c>
      <c r="N96" s="13">
        <f>IF($M96="","",1/(1+10^(-$M96/400)))</f>
        <v/>
      </c>
      <c r="O96" s="7">
        <f>IF(OR($H96=0,$N96=""),"",IF($I96&gt;$J96,1,IF($I96=$J96,0.5,0)))</f>
        <v/>
      </c>
      <c r="P96" s="14">
        <f>IF($O96="","",IF(ABS($I96-$J96)&lt;=1,1,IF(ABS($I96-$J96)=2,1.5,IF(ABS($I96-$J96)=3,1.75,1.75+(ABS($I96-$J96)-3)/8))))</f>
        <v/>
      </c>
      <c r="Q96" s="14">
        <f>IF($O96="",0,Equipos!$O$4*$P96*($O96-$N96))</f>
        <v/>
      </c>
      <c r="R96" s="12">
        <f>IF($K96="","",$K96+$Q96)</f>
        <v/>
      </c>
      <c r="S96" s="12">
        <f>IF($L96="","",$L96-$Q96)</f>
        <v/>
      </c>
      <c r="T96" s="14">
        <f>IF($M96="","",Equipos!$O$3*$M96)</f>
        <v/>
      </c>
      <c r="U96" s="14">
        <f>IFERROR(VLOOKUP($D96,Equipos!$A:$H,6,0),"")</f>
        <v/>
      </c>
      <c r="V96" s="14">
        <f>IFERROR(VLOOKUP($D96,Equipos!$A:$H,7,0),"")</f>
        <v/>
      </c>
      <c r="W96" s="14">
        <f>IFERROR(VLOOKUP($E96,Equipos!$A:$H,6,0),"")</f>
        <v/>
      </c>
      <c r="X96" s="14">
        <f>IFERROR(VLOOKUP($E96,Equipos!$A:$H,7,0),"")</f>
        <v/>
      </c>
      <c r="Y96" s="14">
        <f>IF(OR($U96="",$W96=""),"",MIN(3.6,MAX(1.8,Equipos!$O$2*SQRT($U96*$W96*$V96*$X96))))</f>
        <v/>
      </c>
      <c r="Z96" s="14">
        <f>IF(OR($Y96="",$T96=""),"",MAX(0.2,($Y96+$T96)/2))</f>
        <v/>
      </c>
      <c r="AA96" s="14">
        <f>IF(OR($Y96="",$T96=""),"",MAX(0.2,($Y96-$T96)/2))</f>
        <v/>
      </c>
      <c r="AE96" s="15">
        <f>IF($D96=AE$1,$R96,IF($E96=AE$1,$S96,AE95))</f>
        <v/>
      </c>
      <c r="AF96" s="15">
        <f>IF($D96=AF$1,$R96,IF($E96=AF$1,$S96,AF95))</f>
        <v/>
      </c>
      <c r="AG96" s="15">
        <f>IF($D96=AG$1,$R96,IF($E96=AG$1,$S96,AG95))</f>
        <v/>
      </c>
      <c r="AH96" s="15">
        <f>IF($D96=AH$1,$R96,IF($E96=AH$1,$S96,AH95))</f>
        <v/>
      </c>
      <c r="AI96" s="15">
        <f>IF($D96=AI$1,$R96,IF($E96=AI$1,$S96,AI95))</f>
        <v/>
      </c>
      <c r="AJ96" s="15">
        <f>IF($D96=AJ$1,$R96,IF($E96=AJ$1,$S96,AJ95))</f>
        <v/>
      </c>
      <c r="AK96" s="15">
        <f>IF($D96=AK$1,$R96,IF($E96=AK$1,$S96,AK95))</f>
        <v/>
      </c>
      <c r="AL96" s="15">
        <f>IF($D96=AL$1,$R96,IF($E96=AL$1,$S96,AL95))</f>
        <v/>
      </c>
      <c r="AM96" s="15">
        <f>IF($D96=AM$1,$R96,IF($E96=AM$1,$S96,AM95))</f>
        <v/>
      </c>
      <c r="AN96" s="15">
        <f>IF($D96=AN$1,$R96,IF($E96=AN$1,$S96,AN95))</f>
        <v/>
      </c>
      <c r="AO96" s="15">
        <f>IF($D96=AO$1,$R96,IF($E96=AO$1,$S96,AO95))</f>
        <v/>
      </c>
      <c r="AP96" s="15">
        <f>IF($D96=AP$1,$R96,IF($E96=AP$1,$S96,AP95))</f>
        <v/>
      </c>
      <c r="AQ96" s="15">
        <f>IF($D96=AQ$1,$R96,IF($E96=AQ$1,$S96,AQ95))</f>
        <v/>
      </c>
      <c r="AR96" s="15">
        <f>IF($D96=AR$1,$R96,IF($E96=AR$1,$S96,AR95))</f>
        <v/>
      </c>
      <c r="AS96" s="15">
        <f>IF($D96=AS$1,$R96,IF($E96=AS$1,$S96,AS95))</f>
        <v/>
      </c>
      <c r="AT96" s="15">
        <f>IF($D96=AT$1,$R96,IF($E96=AT$1,$S96,AT95))</f>
        <v/>
      </c>
      <c r="AU96" s="15">
        <f>IF($D96=AU$1,$R96,IF($E96=AU$1,$S96,AU95))</f>
        <v/>
      </c>
      <c r="AV96" s="15">
        <f>IF($D96=AV$1,$R96,IF($E96=AV$1,$S96,AV95))</f>
        <v/>
      </c>
      <c r="AW96" s="15">
        <f>IF($D96=AW$1,$R96,IF($E96=AW$1,$S96,AW95))</f>
        <v/>
      </c>
      <c r="AX96" s="15">
        <f>IF($D96=AX$1,$R96,IF($E96=AX$1,$S96,AX95))</f>
        <v/>
      </c>
      <c r="AY96" s="15">
        <f>IF($D96=AY$1,$R96,IF($E96=AY$1,$S96,AY95))</f>
        <v/>
      </c>
      <c r="AZ96" s="15">
        <f>IF($D96=AZ$1,$R96,IF($E96=AZ$1,$S96,AZ95))</f>
        <v/>
      </c>
      <c r="BA96" s="15">
        <f>IF($D96=BA$1,$R96,IF($E96=BA$1,$S96,BA95))</f>
        <v/>
      </c>
      <c r="BB96" s="15">
        <f>IF($D96=BB$1,$R96,IF($E96=BB$1,$S96,BB95))</f>
        <v/>
      </c>
      <c r="BC96" s="15">
        <f>IF($D96=BC$1,$R96,IF($E96=BC$1,$S96,BC95))</f>
        <v/>
      </c>
      <c r="BD96" s="15">
        <f>IF($D96=BD$1,$R96,IF($E96=BD$1,$S96,BD95))</f>
        <v/>
      </c>
      <c r="BE96" s="15">
        <f>IF($D96=BE$1,$R96,IF($E96=BE$1,$S96,BE95))</f>
        <v/>
      </c>
      <c r="BF96" s="15">
        <f>IF($D96=BF$1,$R96,IF($E96=BF$1,$S96,BF95))</f>
        <v/>
      </c>
      <c r="BG96" s="15">
        <f>IF($D96=BG$1,$R96,IF($E96=BG$1,$S96,BG95))</f>
        <v/>
      </c>
      <c r="BH96" s="15">
        <f>IF($D96=BH$1,$R96,IF($E96=BH$1,$S96,BH95))</f>
        <v/>
      </c>
      <c r="BI96" s="15">
        <f>IF($D96=BI$1,$R96,IF($E96=BI$1,$S96,BI95))</f>
        <v/>
      </c>
      <c r="BJ96" s="15">
        <f>IF($D96=BJ$1,$R96,IF($E96=BJ$1,$S96,BJ95))</f>
        <v/>
      </c>
      <c r="BK96" s="15">
        <f>IF($D96=BK$1,$R96,IF($E96=BK$1,$S96,BK95))</f>
        <v/>
      </c>
      <c r="BL96" s="15">
        <f>IF($D96=BL$1,$R96,IF($E96=BL$1,$S96,BL95))</f>
        <v/>
      </c>
      <c r="BM96" s="15">
        <f>IF($D96=BM$1,$R96,IF($E96=BM$1,$S96,BM95))</f>
        <v/>
      </c>
      <c r="BN96" s="15">
        <f>IF($D96=BN$1,$R96,IF($E96=BN$1,$S96,BN95))</f>
        <v/>
      </c>
      <c r="BO96" s="15">
        <f>IF($D96=BO$1,$R96,IF($E96=BO$1,$S96,BO95))</f>
        <v/>
      </c>
      <c r="BP96" s="15">
        <f>IF($D96=BP$1,$R96,IF($E96=BP$1,$S96,BP95))</f>
        <v/>
      </c>
      <c r="BQ96" s="15">
        <f>IF($D96=BQ$1,$R96,IF($E96=BQ$1,$S96,BQ95))</f>
        <v/>
      </c>
      <c r="BR96" s="15">
        <f>IF($D96=BR$1,$R96,IF($E96=BR$1,$S96,BR95))</f>
        <v/>
      </c>
      <c r="BS96" s="15">
        <f>IF($D96=BS$1,$R96,IF($E96=BS$1,$S96,BS95))</f>
        <v/>
      </c>
      <c r="BT96" s="15">
        <f>IF($D96=BT$1,$R96,IF($E96=BT$1,$S96,BT95))</f>
        <v/>
      </c>
      <c r="BU96" s="15">
        <f>IF($D96=BU$1,$R96,IF($E96=BU$1,$S96,BU95))</f>
        <v/>
      </c>
      <c r="BV96" s="15">
        <f>IF($D96=BV$1,$R96,IF($E96=BV$1,$S96,BV95))</f>
        <v/>
      </c>
      <c r="BW96" s="15">
        <f>IF($D96=BW$1,$R96,IF($E96=BW$1,$S96,BW95))</f>
        <v/>
      </c>
      <c r="BX96" s="15">
        <f>IF($D96=BX$1,$R96,IF($E96=BX$1,$S96,BX95))</f>
        <v/>
      </c>
      <c r="BY96" s="15">
        <f>IF($D96=BY$1,$R96,IF($E96=BY$1,$S96,BY95))</f>
        <v/>
      </c>
      <c r="BZ96" s="15">
        <f>IF($D96=BZ$1,$R96,IF($E96=BZ$1,$S96,BZ95))</f>
        <v/>
      </c>
    </row>
    <row r="97" ht="15" customHeight="1">
      <c r="A97" s="7">
        <f>Fixture!A96</f>
        <v/>
      </c>
      <c r="B97" s="7">
        <f>Fixture!B96</f>
        <v/>
      </c>
      <c r="C97" s="7">
        <f>Fixture!C96</f>
        <v/>
      </c>
      <c r="D97" s="7">
        <f>Fixture!E96</f>
        <v/>
      </c>
      <c r="E97" s="7">
        <f>Fixture!F96</f>
        <v/>
      </c>
      <c r="F97" s="7">
        <f>Fixture!J96</f>
        <v/>
      </c>
      <c r="G97" s="7">
        <f>Fixture!K96</f>
        <v/>
      </c>
      <c r="H97" s="7">
        <f>IF(ISNUMBER(Resultados!B96),1,0)</f>
        <v/>
      </c>
      <c r="I97" s="7">
        <f>IF($H97=1,Resultados!B96,0)</f>
        <v/>
      </c>
      <c r="J97" s="7">
        <f>IF($H97=1,Resultados!C96,0)</f>
        <v/>
      </c>
      <c r="K97" s="12">
        <f>IFERROR(INDEX($AE96:$BZ96,MATCH($D97,$AE$1:$BZ$1,0)),"")</f>
        <v/>
      </c>
      <c r="L97" s="12">
        <f>IFERROR(INDEX($AE96:$BZ96,MATCH($E97,$AE$1:$BZ$1,0)),"")</f>
        <v/>
      </c>
      <c r="M97" s="12">
        <f>IF(OR($K97="",$L97=""),"",($K97+100*$F97)-($L97+100*$G97))</f>
        <v/>
      </c>
      <c r="N97" s="13">
        <f>IF($M97="","",1/(1+10^(-$M97/400)))</f>
        <v/>
      </c>
      <c r="O97" s="7">
        <f>IF(OR($H97=0,$N97=""),"",IF($I97&gt;$J97,1,IF($I97=$J97,0.5,0)))</f>
        <v/>
      </c>
      <c r="P97" s="14">
        <f>IF($O97="","",IF(ABS($I97-$J97)&lt;=1,1,IF(ABS($I97-$J97)=2,1.5,IF(ABS($I97-$J97)=3,1.75,1.75+(ABS($I97-$J97)-3)/8))))</f>
        <v/>
      </c>
      <c r="Q97" s="14">
        <f>IF($O97="",0,Equipos!$O$4*$P97*($O97-$N97))</f>
        <v/>
      </c>
      <c r="R97" s="12">
        <f>IF($K97="","",$K97+$Q97)</f>
        <v/>
      </c>
      <c r="S97" s="12">
        <f>IF($L97="","",$L97-$Q97)</f>
        <v/>
      </c>
      <c r="T97" s="14">
        <f>IF($M97="","",Equipos!$O$3*$M97)</f>
        <v/>
      </c>
      <c r="U97" s="14">
        <f>IFERROR(VLOOKUP($D97,Equipos!$A:$H,6,0),"")</f>
        <v/>
      </c>
      <c r="V97" s="14">
        <f>IFERROR(VLOOKUP($D97,Equipos!$A:$H,7,0),"")</f>
        <v/>
      </c>
      <c r="W97" s="14">
        <f>IFERROR(VLOOKUP($E97,Equipos!$A:$H,6,0),"")</f>
        <v/>
      </c>
      <c r="X97" s="14">
        <f>IFERROR(VLOOKUP($E97,Equipos!$A:$H,7,0),"")</f>
        <v/>
      </c>
      <c r="Y97" s="14">
        <f>IF(OR($U97="",$W97=""),"",MIN(3.6,MAX(1.8,Equipos!$O$2*SQRT($U97*$W97*$V97*$X97))))</f>
        <v/>
      </c>
      <c r="Z97" s="14">
        <f>IF(OR($Y97="",$T97=""),"",MAX(0.2,($Y97+$T97)/2))</f>
        <v/>
      </c>
      <c r="AA97" s="14">
        <f>IF(OR($Y97="",$T97=""),"",MAX(0.2,($Y97-$T97)/2))</f>
        <v/>
      </c>
      <c r="AE97" s="15">
        <f>IF($D97=AE$1,$R97,IF($E97=AE$1,$S97,AE96))</f>
        <v/>
      </c>
      <c r="AF97" s="15">
        <f>IF($D97=AF$1,$R97,IF($E97=AF$1,$S97,AF96))</f>
        <v/>
      </c>
      <c r="AG97" s="15">
        <f>IF($D97=AG$1,$R97,IF($E97=AG$1,$S97,AG96))</f>
        <v/>
      </c>
      <c r="AH97" s="15">
        <f>IF($D97=AH$1,$R97,IF($E97=AH$1,$S97,AH96))</f>
        <v/>
      </c>
      <c r="AI97" s="15">
        <f>IF($D97=AI$1,$R97,IF($E97=AI$1,$S97,AI96))</f>
        <v/>
      </c>
      <c r="AJ97" s="15">
        <f>IF($D97=AJ$1,$R97,IF($E97=AJ$1,$S97,AJ96))</f>
        <v/>
      </c>
      <c r="AK97" s="15">
        <f>IF($D97=AK$1,$R97,IF($E97=AK$1,$S97,AK96))</f>
        <v/>
      </c>
      <c r="AL97" s="15">
        <f>IF($D97=AL$1,$R97,IF($E97=AL$1,$S97,AL96))</f>
        <v/>
      </c>
      <c r="AM97" s="15">
        <f>IF($D97=AM$1,$R97,IF($E97=AM$1,$S97,AM96))</f>
        <v/>
      </c>
      <c r="AN97" s="15">
        <f>IF($D97=AN$1,$R97,IF($E97=AN$1,$S97,AN96))</f>
        <v/>
      </c>
      <c r="AO97" s="15">
        <f>IF($D97=AO$1,$R97,IF($E97=AO$1,$S97,AO96))</f>
        <v/>
      </c>
      <c r="AP97" s="15">
        <f>IF($D97=AP$1,$R97,IF($E97=AP$1,$S97,AP96))</f>
        <v/>
      </c>
      <c r="AQ97" s="15">
        <f>IF($D97=AQ$1,$R97,IF($E97=AQ$1,$S97,AQ96))</f>
        <v/>
      </c>
      <c r="AR97" s="15">
        <f>IF($D97=AR$1,$R97,IF($E97=AR$1,$S97,AR96))</f>
        <v/>
      </c>
      <c r="AS97" s="15">
        <f>IF($D97=AS$1,$R97,IF($E97=AS$1,$S97,AS96))</f>
        <v/>
      </c>
      <c r="AT97" s="15">
        <f>IF($D97=AT$1,$R97,IF($E97=AT$1,$S97,AT96))</f>
        <v/>
      </c>
      <c r="AU97" s="15">
        <f>IF($D97=AU$1,$R97,IF($E97=AU$1,$S97,AU96))</f>
        <v/>
      </c>
      <c r="AV97" s="15">
        <f>IF($D97=AV$1,$R97,IF($E97=AV$1,$S97,AV96))</f>
        <v/>
      </c>
      <c r="AW97" s="15">
        <f>IF($D97=AW$1,$R97,IF($E97=AW$1,$S97,AW96))</f>
        <v/>
      </c>
      <c r="AX97" s="15">
        <f>IF($D97=AX$1,$R97,IF($E97=AX$1,$S97,AX96))</f>
        <v/>
      </c>
      <c r="AY97" s="15">
        <f>IF($D97=AY$1,$R97,IF($E97=AY$1,$S97,AY96))</f>
        <v/>
      </c>
      <c r="AZ97" s="15">
        <f>IF($D97=AZ$1,$R97,IF($E97=AZ$1,$S97,AZ96))</f>
        <v/>
      </c>
      <c r="BA97" s="15">
        <f>IF($D97=BA$1,$R97,IF($E97=BA$1,$S97,BA96))</f>
        <v/>
      </c>
      <c r="BB97" s="15">
        <f>IF($D97=BB$1,$R97,IF($E97=BB$1,$S97,BB96))</f>
        <v/>
      </c>
      <c r="BC97" s="15">
        <f>IF($D97=BC$1,$R97,IF($E97=BC$1,$S97,BC96))</f>
        <v/>
      </c>
      <c r="BD97" s="15">
        <f>IF($D97=BD$1,$R97,IF($E97=BD$1,$S97,BD96))</f>
        <v/>
      </c>
      <c r="BE97" s="15">
        <f>IF($D97=BE$1,$R97,IF($E97=BE$1,$S97,BE96))</f>
        <v/>
      </c>
      <c r="BF97" s="15">
        <f>IF($D97=BF$1,$R97,IF($E97=BF$1,$S97,BF96))</f>
        <v/>
      </c>
      <c r="BG97" s="15">
        <f>IF($D97=BG$1,$R97,IF($E97=BG$1,$S97,BG96))</f>
        <v/>
      </c>
      <c r="BH97" s="15">
        <f>IF($D97=BH$1,$R97,IF($E97=BH$1,$S97,BH96))</f>
        <v/>
      </c>
      <c r="BI97" s="15">
        <f>IF($D97=BI$1,$R97,IF($E97=BI$1,$S97,BI96))</f>
        <v/>
      </c>
      <c r="BJ97" s="15">
        <f>IF($D97=BJ$1,$R97,IF($E97=BJ$1,$S97,BJ96))</f>
        <v/>
      </c>
      <c r="BK97" s="15">
        <f>IF($D97=BK$1,$R97,IF($E97=BK$1,$S97,BK96))</f>
        <v/>
      </c>
      <c r="BL97" s="15">
        <f>IF($D97=BL$1,$R97,IF($E97=BL$1,$S97,BL96))</f>
        <v/>
      </c>
      <c r="BM97" s="15">
        <f>IF($D97=BM$1,$R97,IF($E97=BM$1,$S97,BM96))</f>
        <v/>
      </c>
      <c r="BN97" s="15">
        <f>IF($D97=BN$1,$R97,IF($E97=BN$1,$S97,BN96))</f>
        <v/>
      </c>
      <c r="BO97" s="15">
        <f>IF($D97=BO$1,$R97,IF($E97=BO$1,$S97,BO96))</f>
        <v/>
      </c>
      <c r="BP97" s="15">
        <f>IF($D97=BP$1,$R97,IF($E97=BP$1,$S97,BP96))</f>
        <v/>
      </c>
      <c r="BQ97" s="15">
        <f>IF($D97=BQ$1,$R97,IF($E97=BQ$1,$S97,BQ96))</f>
        <v/>
      </c>
      <c r="BR97" s="15">
        <f>IF($D97=BR$1,$R97,IF($E97=BR$1,$S97,BR96))</f>
        <v/>
      </c>
      <c r="BS97" s="15">
        <f>IF($D97=BS$1,$R97,IF($E97=BS$1,$S97,BS96))</f>
        <v/>
      </c>
      <c r="BT97" s="15">
        <f>IF($D97=BT$1,$R97,IF($E97=BT$1,$S97,BT96))</f>
        <v/>
      </c>
      <c r="BU97" s="15">
        <f>IF($D97=BU$1,$R97,IF($E97=BU$1,$S97,BU96))</f>
        <v/>
      </c>
      <c r="BV97" s="15">
        <f>IF($D97=BV$1,$R97,IF($E97=BV$1,$S97,BV96))</f>
        <v/>
      </c>
      <c r="BW97" s="15">
        <f>IF($D97=BW$1,$R97,IF($E97=BW$1,$S97,BW96))</f>
        <v/>
      </c>
      <c r="BX97" s="15">
        <f>IF($D97=BX$1,$R97,IF($E97=BX$1,$S97,BX96))</f>
        <v/>
      </c>
      <c r="BY97" s="15">
        <f>IF($D97=BY$1,$R97,IF($E97=BY$1,$S97,BY96))</f>
        <v/>
      </c>
      <c r="BZ97" s="15">
        <f>IF($D97=BZ$1,$R97,IF($E97=BZ$1,$S97,BZ96))</f>
        <v/>
      </c>
    </row>
    <row r="98" ht="15" customHeight="1">
      <c r="A98" s="7">
        <f>Fixture!A97</f>
        <v/>
      </c>
      <c r="B98" s="7">
        <f>Fixture!B97</f>
        <v/>
      </c>
      <c r="C98" s="7">
        <f>Fixture!C97</f>
        <v/>
      </c>
      <c r="D98" s="7">
        <f>Fixture!E97</f>
        <v/>
      </c>
      <c r="E98" s="7">
        <f>Fixture!F97</f>
        <v/>
      </c>
      <c r="F98" s="7">
        <f>Fixture!J97</f>
        <v/>
      </c>
      <c r="G98" s="7">
        <f>Fixture!K97</f>
        <v/>
      </c>
      <c r="H98" s="7">
        <f>IF(ISNUMBER(Resultados!B97),1,0)</f>
        <v/>
      </c>
      <c r="I98" s="7">
        <f>IF($H98=1,Resultados!B97,0)</f>
        <v/>
      </c>
      <c r="J98" s="7">
        <f>IF($H98=1,Resultados!C97,0)</f>
        <v/>
      </c>
      <c r="K98" s="12">
        <f>IFERROR(INDEX($AE97:$BZ97,MATCH($D98,$AE$1:$BZ$1,0)),"")</f>
        <v/>
      </c>
      <c r="L98" s="12">
        <f>IFERROR(INDEX($AE97:$BZ97,MATCH($E98,$AE$1:$BZ$1,0)),"")</f>
        <v/>
      </c>
      <c r="M98" s="12">
        <f>IF(OR($K98="",$L98=""),"",($K98+100*$F98)-($L98+100*$G98))</f>
        <v/>
      </c>
      <c r="N98" s="13">
        <f>IF($M98="","",1/(1+10^(-$M98/400)))</f>
        <v/>
      </c>
      <c r="O98" s="7">
        <f>IF(OR($H98=0,$N98=""),"",IF($I98&gt;$J98,1,IF($I98=$J98,0.5,0)))</f>
        <v/>
      </c>
      <c r="P98" s="14">
        <f>IF($O98="","",IF(ABS($I98-$J98)&lt;=1,1,IF(ABS($I98-$J98)=2,1.5,IF(ABS($I98-$J98)=3,1.75,1.75+(ABS($I98-$J98)-3)/8))))</f>
        <v/>
      </c>
      <c r="Q98" s="14">
        <f>IF($O98="",0,Equipos!$O$4*$P98*($O98-$N98))</f>
        <v/>
      </c>
      <c r="R98" s="12">
        <f>IF($K98="","",$K98+$Q98)</f>
        <v/>
      </c>
      <c r="S98" s="12">
        <f>IF($L98="","",$L98-$Q98)</f>
        <v/>
      </c>
      <c r="T98" s="14">
        <f>IF($M98="","",Equipos!$O$3*$M98)</f>
        <v/>
      </c>
      <c r="U98" s="14">
        <f>IFERROR(VLOOKUP($D98,Equipos!$A:$H,6,0),"")</f>
        <v/>
      </c>
      <c r="V98" s="14">
        <f>IFERROR(VLOOKUP($D98,Equipos!$A:$H,7,0),"")</f>
        <v/>
      </c>
      <c r="W98" s="14">
        <f>IFERROR(VLOOKUP($E98,Equipos!$A:$H,6,0),"")</f>
        <v/>
      </c>
      <c r="X98" s="14">
        <f>IFERROR(VLOOKUP($E98,Equipos!$A:$H,7,0),"")</f>
        <v/>
      </c>
      <c r="Y98" s="14">
        <f>IF(OR($U98="",$W98=""),"",MIN(3.6,MAX(1.8,Equipos!$O$2*SQRT($U98*$W98*$V98*$X98))))</f>
        <v/>
      </c>
      <c r="Z98" s="14">
        <f>IF(OR($Y98="",$T98=""),"",MAX(0.2,($Y98+$T98)/2))</f>
        <v/>
      </c>
      <c r="AA98" s="14">
        <f>IF(OR($Y98="",$T98=""),"",MAX(0.2,($Y98-$T98)/2))</f>
        <v/>
      </c>
      <c r="AE98" s="15">
        <f>IF($D98=AE$1,$R98,IF($E98=AE$1,$S98,AE97))</f>
        <v/>
      </c>
      <c r="AF98" s="15">
        <f>IF($D98=AF$1,$R98,IF($E98=AF$1,$S98,AF97))</f>
        <v/>
      </c>
      <c r="AG98" s="15">
        <f>IF($D98=AG$1,$R98,IF($E98=AG$1,$S98,AG97))</f>
        <v/>
      </c>
      <c r="AH98" s="15">
        <f>IF($D98=AH$1,$R98,IF($E98=AH$1,$S98,AH97))</f>
        <v/>
      </c>
      <c r="AI98" s="15">
        <f>IF($D98=AI$1,$R98,IF($E98=AI$1,$S98,AI97))</f>
        <v/>
      </c>
      <c r="AJ98" s="15">
        <f>IF($D98=AJ$1,$R98,IF($E98=AJ$1,$S98,AJ97))</f>
        <v/>
      </c>
      <c r="AK98" s="15">
        <f>IF($D98=AK$1,$R98,IF($E98=AK$1,$S98,AK97))</f>
        <v/>
      </c>
      <c r="AL98" s="15">
        <f>IF($D98=AL$1,$R98,IF($E98=AL$1,$S98,AL97))</f>
        <v/>
      </c>
      <c r="AM98" s="15">
        <f>IF($D98=AM$1,$R98,IF($E98=AM$1,$S98,AM97))</f>
        <v/>
      </c>
      <c r="AN98" s="15">
        <f>IF($D98=AN$1,$R98,IF($E98=AN$1,$S98,AN97))</f>
        <v/>
      </c>
      <c r="AO98" s="15">
        <f>IF($D98=AO$1,$R98,IF($E98=AO$1,$S98,AO97))</f>
        <v/>
      </c>
      <c r="AP98" s="15">
        <f>IF($D98=AP$1,$R98,IF($E98=AP$1,$S98,AP97))</f>
        <v/>
      </c>
      <c r="AQ98" s="15">
        <f>IF($D98=AQ$1,$R98,IF($E98=AQ$1,$S98,AQ97))</f>
        <v/>
      </c>
      <c r="AR98" s="15">
        <f>IF($D98=AR$1,$R98,IF($E98=AR$1,$S98,AR97))</f>
        <v/>
      </c>
      <c r="AS98" s="15">
        <f>IF($D98=AS$1,$R98,IF($E98=AS$1,$S98,AS97))</f>
        <v/>
      </c>
      <c r="AT98" s="15">
        <f>IF($D98=AT$1,$R98,IF($E98=AT$1,$S98,AT97))</f>
        <v/>
      </c>
      <c r="AU98" s="15">
        <f>IF($D98=AU$1,$R98,IF($E98=AU$1,$S98,AU97))</f>
        <v/>
      </c>
      <c r="AV98" s="15">
        <f>IF($D98=AV$1,$R98,IF($E98=AV$1,$S98,AV97))</f>
        <v/>
      </c>
      <c r="AW98" s="15">
        <f>IF($D98=AW$1,$R98,IF($E98=AW$1,$S98,AW97))</f>
        <v/>
      </c>
      <c r="AX98" s="15">
        <f>IF($D98=AX$1,$R98,IF($E98=AX$1,$S98,AX97))</f>
        <v/>
      </c>
      <c r="AY98" s="15">
        <f>IF($D98=AY$1,$R98,IF($E98=AY$1,$S98,AY97))</f>
        <v/>
      </c>
      <c r="AZ98" s="15">
        <f>IF($D98=AZ$1,$R98,IF($E98=AZ$1,$S98,AZ97))</f>
        <v/>
      </c>
      <c r="BA98" s="15">
        <f>IF($D98=BA$1,$R98,IF($E98=BA$1,$S98,BA97))</f>
        <v/>
      </c>
      <c r="BB98" s="15">
        <f>IF($D98=BB$1,$R98,IF($E98=BB$1,$S98,BB97))</f>
        <v/>
      </c>
      <c r="BC98" s="15">
        <f>IF($D98=BC$1,$R98,IF($E98=BC$1,$S98,BC97))</f>
        <v/>
      </c>
      <c r="BD98" s="15">
        <f>IF($D98=BD$1,$R98,IF($E98=BD$1,$S98,BD97))</f>
        <v/>
      </c>
      <c r="BE98" s="15">
        <f>IF($D98=BE$1,$R98,IF($E98=BE$1,$S98,BE97))</f>
        <v/>
      </c>
      <c r="BF98" s="15">
        <f>IF($D98=BF$1,$R98,IF($E98=BF$1,$S98,BF97))</f>
        <v/>
      </c>
      <c r="BG98" s="15">
        <f>IF($D98=BG$1,$R98,IF($E98=BG$1,$S98,BG97))</f>
        <v/>
      </c>
      <c r="BH98" s="15">
        <f>IF($D98=BH$1,$R98,IF($E98=BH$1,$S98,BH97))</f>
        <v/>
      </c>
      <c r="BI98" s="15">
        <f>IF($D98=BI$1,$R98,IF($E98=BI$1,$S98,BI97))</f>
        <v/>
      </c>
      <c r="BJ98" s="15">
        <f>IF($D98=BJ$1,$R98,IF($E98=BJ$1,$S98,BJ97))</f>
        <v/>
      </c>
      <c r="BK98" s="15">
        <f>IF($D98=BK$1,$R98,IF($E98=BK$1,$S98,BK97))</f>
        <v/>
      </c>
      <c r="BL98" s="15">
        <f>IF($D98=BL$1,$R98,IF($E98=BL$1,$S98,BL97))</f>
        <v/>
      </c>
      <c r="BM98" s="15">
        <f>IF($D98=BM$1,$R98,IF($E98=BM$1,$S98,BM97))</f>
        <v/>
      </c>
      <c r="BN98" s="15">
        <f>IF($D98=BN$1,$R98,IF($E98=BN$1,$S98,BN97))</f>
        <v/>
      </c>
      <c r="BO98" s="15">
        <f>IF($D98=BO$1,$R98,IF($E98=BO$1,$S98,BO97))</f>
        <v/>
      </c>
      <c r="BP98" s="15">
        <f>IF($D98=BP$1,$R98,IF($E98=BP$1,$S98,BP97))</f>
        <v/>
      </c>
      <c r="BQ98" s="15">
        <f>IF($D98=BQ$1,$R98,IF($E98=BQ$1,$S98,BQ97))</f>
        <v/>
      </c>
      <c r="BR98" s="15">
        <f>IF($D98=BR$1,$R98,IF($E98=BR$1,$S98,BR97))</f>
        <v/>
      </c>
      <c r="BS98" s="15">
        <f>IF($D98=BS$1,$R98,IF($E98=BS$1,$S98,BS97))</f>
        <v/>
      </c>
      <c r="BT98" s="15">
        <f>IF($D98=BT$1,$R98,IF($E98=BT$1,$S98,BT97))</f>
        <v/>
      </c>
      <c r="BU98" s="15">
        <f>IF($D98=BU$1,$R98,IF($E98=BU$1,$S98,BU97))</f>
        <v/>
      </c>
      <c r="BV98" s="15">
        <f>IF($D98=BV$1,$R98,IF($E98=BV$1,$S98,BV97))</f>
        <v/>
      </c>
      <c r="BW98" s="15">
        <f>IF($D98=BW$1,$R98,IF($E98=BW$1,$S98,BW97))</f>
        <v/>
      </c>
      <c r="BX98" s="15">
        <f>IF($D98=BX$1,$R98,IF($E98=BX$1,$S98,BX97))</f>
        <v/>
      </c>
      <c r="BY98" s="15">
        <f>IF($D98=BY$1,$R98,IF($E98=BY$1,$S98,BY97))</f>
        <v/>
      </c>
      <c r="BZ98" s="15">
        <f>IF($D98=BZ$1,$R98,IF($E98=BZ$1,$S98,BZ97))</f>
        <v/>
      </c>
    </row>
    <row r="99" ht="15" customHeight="1">
      <c r="A99" s="7">
        <f>Fixture!A98</f>
        <v/>
      </c>
      <c r="B99" s="7">
        <f>Fixture!B98</f>
        <v/>
      </c>
      <c r="C99" s="7">
        <f>Fixture!C98</f>
        <v/>
      </c>
      <c r="D99" s="7">
        <f>Fixture!E98</f>
        <v/>
      </c>
      <c r="E99" s="7">
        <f>Fixture!F98</f>
        <v/>
      </c>
      <c r="F99" s="7">
        <f>Fixture!J98</f>
        <v/>
      </c>
      <c r="G99" s="7">
        <f>Fixture!K98</f>
        <v/>
      </c>
      <c r="H99" s="7">
        <f>IF(ISNUMBER(Resultados!B98),1,0)</f>
        <v/>
      </c>
      <c r="I99" s="7">
        <f>IF($H99=1,Resultados!B98,0)</f>
        <v/>
      </c>
      <c r="J99" s="7">
        <f>IF($H99=1,Resultados!C98,0)</f>
        <v/>
      </c>
      <c r="K99" s="12">
        <f>IFERROR(INDEX($AE98:$BZ98,MATCH($D99,$AE$1:$BZ$1,0)),"")</f>
        <v/>
      </c>
      <c r="L99" s="12">
        <f>IFERROR(INDEX($AE98:$BZ98,MATCH($E99,$AE$1:$BZ$1,0)),"")</f>
        <v/>
      </c>
      <c r="M99" s="12">
        <f>IF(OR($K99="",$L99=""),"",($K99+100*$F99)-($L99+100*$G99))</f>
        <v/>
      </c>
      <c r="N99" s="13">
        <f>IF($M99="","",1/(1+10^(-$M99/400)))</f>
        <v/>
      </c>
      <c r="O99" s="7">
        <f>IF(OR($H99=0,$N99=""),"",IF($I99&gt;$J99,1,IF($I99=$J99,0.5,0)))</f>
        <v/>
      </c>
      <c r="P99" s="14">
        <f>IF($O99="","",IF(ABS($I99-$J99)&lt;=1,1,IF(ABS($I99-$J99)=2,1.5,IF(ABS($I99-$J99)=3,1.75,1.75+(ABS($I99-$J99)-3)/8))))</f>
        <v/>
      </c>
      <c r="Q99" s="14">
        <f>IF($O99="",0,Equipos!$O$4*$P99*($O99-$N99))</f>
        <v/>
      </c>
      <c r="R99" s="12">
        <f>IF($K99="","",$K99+$Q99)</f>
        <v/>
      </c>
      <c r="S99" s="12">
        <f>IF($L99="","",$L99-$Q99)</f>
        <v/>
      </c>
      <c r="T99" s="14">
        <f>IF($M99="","",Equipos!$O$3*$M99)</f>
        <v/>
      </c>
      <c r="U99" s="14">
        <f>IFERROR(VLOOKUP($D99,Equipos!$A:$H,6,0),"")</f>
        <v/>
      </c>
      <c r="V99" s="14">
        <f>IFERROR(VLOOKUP($D99,Equipos!$A:$H,7,0),"")</f>
        <v/>
      </c>
      <c r="W99" s="14">
        <f>IFERROR(VLOOKUP($E99,Equipos!$A:$H,6,0),"")</f>
        <v/>
      </c>
      <c r="X99" s="14">
        <f>IFERROR(VLOOKUP($E99,Equipos!$A:$H,7,0),"")</f>
        <v/>
      </c>
      <c r="Y99" s="14">
        <f>IF(OR($U99="",$W99=""),"",MIN(3.6,MAX(1.8,Equipos!$O$2*SQRT($U99*$W99*$V99*$X99))))</f>
        <v/>
      </c>
      <c r="Z99" s="14">
        <f>IF(OR($Y99="",$T99=""),"",MAX(0.2,($Y99+$T99)/2))</f>
        <v/>
      </c>
      <c r="AA99" s="14">
        <f>IF(OR($Y99="",$T99=""),"",MAX(0.2,($Y99-$T99)/2))</f>
        <v/>
      </c>
      <c r="AE99" s="15">
        <f>IF($D99=AE$1,$R99,IF($E99=AE$1,$S99,AE98))</f>
        <v/>
      </c>
      <c r="AF99" s="15">
        <f>IF($D99=AF$1,$R99,IF($E99=AF$1,$S99,AF98))</f>
        <v/>
      </c>
      <c r="AG99" s="15">
        <f>IF($D99=AG$1,$R99,IF($E99=AG$1,$S99,AG98))</f>
        <v/>
      </c>
      <c r="AH99" s="15">
        <f>IF($D99=AH$1,$R99,IF($E99=AH$1,$S99,AH98))</f>
        <v/>
      </c>
      <c r="AI99" s="15">
        <f>IF($D99=AI$1,$R99,IF($E99=AI$1,$S99,AI98))</f>
        <v/>
      </c>
      <c r="AJ99" s="15">
        <f>IF($D99=AJ$1,$R99,IF($E99=AJ$1,$S99,AJ98))</f>
        <v/>
      </c>
      <c r="AK99" s="15">
        <f>IF($D99=AK$1,$R99,IF($E99=AK$1,$S99,AK98))</f>
        <v/>
      </c>
      <c r="AL99" s="15">
        <f>IF($D99=AL$1,$R99,IF($E99=AL$1,$S99,AL98))</f>
        <v/>
      </c>
      <c r="AM99" s="15">
        <f>IF($D99=AM$1,$R99,IF($E99=AM$1,$S99,AM98))</f>
        <v/>
      </c>
      <c r="AN99" s="15">
        <f>IF($D99=AN$1,$R99,IF($E99=AN$1,$S99,AN98))</f>
        <v/>
      </c>
      <c r="AO99" s="15">
        <f>IF($D99=AO$1,$R99,IF($E99=AO$1,$S99,AO98))</f>
        <v/>
      </c>
      <c r="AP99" s="15">
        <f>IF($D99=AP$1,$R99,IF($E99=AP$1,$S99,AP98))</f>
        <v/>
      </c>
      <c r="AQ99" s="15">
        <f>IF($D99=AQ$1,$R99,IF($E99=AQ$1,$S99,AQ98))</f>
        <v/>
      </c>
      <c r="AR99" s="15">
        <f>IF($D99=AR$1,$R99,IF($E99=AR$1,$S99,AR98))</f>
        <v/>
      </c>
      <c r="AS99" s="15">
        <f>IF($D99=AS$1,$R99,IF($E99=AS$1,$S99,AS98))</f>
        <v/>
      </c>
      <c r="AT99" s="15">
        <f>IF($D99=AT$1,$R99,IF($E99=AT$1,$S99,AT98))</f>
        <v/>
      </c>
      <c r="AU99" s="15">
        <f>IF($D99=AU$1,$R99,IF($E99=AU$1,$S99,AU98))</f>
        <v/>
      </c>
      <c r="AV99" s="15">
        <f>IF($D99=AV$1,$R99,IF($E99=AV$1,$S99,AV98))</f>
        <v/>
      </c>
      <c r="AW99" s="15">
        <f>IF($D99=AW$1,$R99,IF($E99=AW$1,$S99,AW98))</f>
        <v/>
      </c>
      <c r="AX99" s="15">
        <f>IF($D99=AX$1,$R99,IF($E99=AX$1,$S99,AX98))</f>
        <v/>
      </c>
      <c r="AY99" s="15">
        <f>IF($D99=AY$1,$R99,IF($E99=AY$1,$S99,AY98))</f>
        <v/>
      </c>
      <c r="AZ99" s="15">
        <f>IF($D99=AZ$1,$R99,IF($E99=AZ$1,$S99,AZ98))</f>
        <v/>
      </c>
      <c r="BA99" s="15">
        <f>IF($D99=BA$1,$R99,IF($E99=BA$1,$S99,BA98))</f>
        <v/>
      </c>
      <c r="BB99" s="15">
        <f>IF($D99=BB$1,$R99,IF($E99=BB$1,$S99,BB98))</f>
        <v/>
      </c>
      <c r="BC99" s="15">
        <f>IF($D99=BC$1,$R99,IF($E99=BC$1,$S99,BC98))</f>
        <v/>
      </c>
      <c r="BD99" s="15">
        <f>IF($D99=BD$1,$R99,IF($E99=BD$1,$S99,BD98))</f>
        <v/>
      </c>
      <c r="BE99" s="15">
        <f>IF($D99=BE$1,$R99,IF($E99=BE$1,$S99,BE98))</f>
        <v/>
      </c>
      <c r="BF99" s="15">
        <f>IF($D99=BF$1,$R99,IF($E99=BF$1,$S99,BF98))</f>
        <v/>
      </c>
      <c r="BG99" s="15">
        <f>IF($D99=BG$1,$R99,IF($E99=BG$1,$S99,BG98))</f>
        <v/>
      </c>
      <c r="BH99" s="15">
        <f>IF($D99=BH$1,$R99,IF($E99=BH$1,$S99,BH98))</f>
        <v/>
      </c>
      <c r="BI99" s="15">
        <f>IF($D99=BI$1,$R99,IF($E99=BI$1,$S99,BI98))</f>
        <v/>
      </c>
      <c r="BJ99" s="15">
        <f>IF($D99=BJ$1,$R99,IF($E99=BJ$1,$S99,BJ98))</f>
        <v/>
      </c>
      <c r="BK99" s="15">
        <f>IF($D99=BK$1,$R99,IF($E99=BK$1,$S99,BK98))</f>
        <v/>
      </c>
      <c r="BL99" s="15">
        <f>IF($D99=BL$1,$R99,IF($E99=BL$1,$S99,BL98))</f>
        <v/>
      </c>
      <c r="BM99" s="15">
        <f>IF($D99=BM$1,$R99,IF($E99=BM$1,$S99,BM98))</f>
        <v/>
      </c>
      <c r="BN99" s="15">
        <f>IF($D99=BN$1,$R99,IF($E99=BN$1,$S99,BN98))</f>
        <v/>
      </c>
      <c r="BO99" s="15">
        <f>IF($D99=BO$1,$R99,IF($E99=BO$1,$S99,BO98))</f>
        <v/>
      </c>
      <c r="BP99" s="15">
        <f>IF($D99=BP$1,$R99,IF($E99=BP$1,$S99,BP98))</f>
        <v/>
      </c>
      <c r="BQ99" s="15">
        <f>IF($D99=BQ$1,$R99,IF($E99=BQ$1,$S99,BQ98))</f>
        <v/>
      </c>
      <c r="BR99" s="15">
        <f>IF($D99=BR$1,$R99,IF($E99=BR$1,$S99,BR98))</f>
        <v/>
      </c>
      <c r="BS99" s="15">
        <f>IF($D99=BS$1,$R99,IF($E99=BS$1,$S99,BS98))</f>
        <v/>
      </c>
      <c r="BT99" s="15">
        <f>IF($D99=BT$1,$R99,IF($E99=BT$1,$S99,BT98))</f>
        <v/>
      </c>
      <c r="BU99" s="15">
        <f>IF($D99=BU$1,$R99,IF($E99=BU$1,$S99,BU98))</f>
        <v/>
      </c>
      <c r="BV99" s="15">
        <f>IF($D99=BV$1,$R99,IF($E99=BV$1,$S99,BV98))</f>
        <v/>
      </c>
      <c r="BW99" s="15">
        <f>IF($D99=BW$1,$R99,IF($E99=BW$1,$S99,BW98))</f>
        <v/>
      </c>
      <c r="BX99" s="15">
        <f>IF($D99=BX$1,$R99,IF($E99=BX$1,$S99,BX98))</f>
        <v/>
      </c>
      <c r="BY99" s="15">
        <f>IF($D99=BY$1,$R99,IF($E99=BY$1,$S99,BY98))</f>
        <v/>
      </c>
      <c r="BZ99" s="15">
        <f>IF($D99=BZ$1,$R99,IF($E99=BZ$1,$S99,BZ98))</f>
        <v/>
      </c>
    </row>
    <row r="100" ht="15" customHeight="1">
      <c r="A100" s="7">
        <f>Fixture!A99</f>
        <v/>
      </c>
      <c r="B100" s="7">
        <f>Fixture!B99</f>
        <v/>
      </c>
      <c r="C100" s="7">
        <f>Fixture!C99</f>
        <v/>
      </c>
      <c r="D100" s="7">
        <f>Fixture!E99</f>
        <v/>
      </c>
      <c r="E100" s="7">
        <f>Fixture!F99</f>
        <v/>
      </c>
      <c r="F100" s="7">
        <f>Fixture!J99</f>
        <v/>
      </c>
      <c r="G100" s="7">
        <f>Fixture!K99</f>
        <v/>
      </c>
      <c r="H100" s="7">
        <f>IF(ISNUMBER(Resultados!B99),1,0)</f>
        <v/>
      </c>
      <c r="I100" s="7">
        <f>IF($H100=1,Resultados!B99,0)</f>
        <v/>
      </c>
      <c r="J100" s="7">
        <f>IF($H100=1,Resultados!C99,0)</f>
        <v/>
      </c>
      <c r="K100" s="12">
        <f>IFERROR(INDEX($AE99:$BZ99,MATCH($D100,$AE$1:$BZ$1,0)),"")</f>
        <v/>
      </c>
      <c r="L100" s="12">
        <f>IFERROR(INDEX($AE99:$BZ99,MATCH($E100,$AE$1:$BZ$1,0)),"")</f>
        <v/>
      </c>
      <c r="M100" s="12">
        <f>IF(OR($K100="",$L100=""),"",($K100+100*$F100)-($L100+100*$G100))</f>
        <v/>
      </c>
      <c r="N100" s="13">
        <f>IF($M100="","",1/(1+10^(-$M100/400)))</f>
        <v/>
      </c>
      <c r="O100" s="7">
        <f>IF(OR($H100=0,$N100=""),"",IF($I100&gt;$J100,1,IF($I100=$J100,0.5,0)))</f>
        <v/>
      </c>
      <c r="P100" s="14">
        <f>IF($O100="","",IF(ABS($I100-$J100)&lt;=1,1,IF(ABS($I100-$J100)=2,1.5,IF(ABS($I100-$J100)=3,1.75,1.75+(ABS($I100-$J100)-3)/8))))</f>
        <v/>
      </c>
      <c r="Q100" s="14">
        <f>IF($O100="",0,Equipos!$O$4*$P100*($O100-$N100))</f>
        <v/>
      </c>
      <c r="R100" s="12">
        <f>IF($K100="","",$K100+$Q100)</f>
        <v/>
      </c>
      <c r="S100" s="12">
        <f>IF($L100="","",$L100-$Q100)</f>
        <v/>
      </c>
      <c r="T100" s="14">
        <f>IF($M100="","",Equipos!$O$3*$M100)</f>
        <v/>
      </c>
      <c r="U100" s="14">
        <f>IFERROR(VLOOKUP($D100,Equipos!$A:$H,6,0),"")</f>
        <v/>
      </c>
      <c r="V100" s="14">
        <f>IFERROR(VLOOKUP($D100,Equipos!$A:$H,7,0),"")</f>
        <v/>
      </c>
      <c r="W100" s="14">
        <f>IFERROR(VLOOKUP($E100,Equipos!$A:$H,6,0),"")</f>
        <v/>
      </c>
      <c r="X100" s="14">
        <f>IFERROR(VLOOKUP($E100,Equipos!$A:$H,7,0),"")</f>
        <v/>
      </c>
      <c r="Y100" s="14">
        <f>IF(OR($U100="",$W100=""),"",MIN(3.6,MAX(1.8,Equipos!$O$2*SQRT($U100*$W100*$V100*$X100))))</f>
        <v/>
      </c>
      <c r="Z100" s="14">
        <f>IF(OR($Y100="",$T100=""),"",MAX(0.2,($Y100+$T100)/2))</f>
        <v/>
      </c>
      <c r="AA100" s="14">
        <f>IF(OR($Y100="",$T100=""),"",MAX(0.2,($Y100-$T100)/2))</f>
        <v/>
      </c>
      <c r="AE100" s="15">
        <f>IF($D100=AE$1,$R100,IF($E100=AE$1,$S100,AE99))</f>
        <v/>
      </c>
      <c r="AF100" s="15">
        <f>IF($D100=AF$1,$R100,IF($E100=AF$1,$S100,AF99))</f>
        <v/>
      </c>
      <c r="AG100" s="15">
        <f>IF($D100=AG$1,$R100,IF($E100=AG$1,$S100,AG99))</f>
        <v/>
      </c>
      <c r="AH100" s="15">
        <f>IF($D100=AH$1,$R100,IF($E100=AH$1,$S100,AH99))</f>
        <v/>
      </c>
      <c r="AI100" s="15">
        <f>IF($D100=AI$1,$R100,IF($E100=AI$1,$S100,AI99))</f>
        <v/>
      </c>
      <c r="AJ100" s="15">
        <f>IF($D100=AJ$1,$R100,IF($E100=AJ$1,$S100,AJ99))</f>
        <v/>
      </c>
      <c r="AK100" s="15">
        <f>IF($D100=AK$1,$R100,IF($E100=AK$1,$S100,AK99))</f>
        <v/>
      </c>
      <c r="AL100" s="15">
        <f>IF($D100=AL$1,$R100,IF($E100=AL$1,$S100,AL99))</f>
        <v/>
      </c>
      <c r="AM100" s="15">
        <f>IF($D100=AM$1,$R100,IF($E100=AM$1,$S100,AM99))</f>
        <v/>
      </c>
      <c r="AN100" s="15">
        <f>IF($D100=AN$1,$R100,IF($E100=AN$1,$S100,AN99))</f>
        <v/>
      </c>
      <c r="AO100" s="15">
        <f>IF($D100=AO$1,$R100,IF($E100=AO$1,$S100,AO99))</f>
        <v/>
      </c>
      <c r="AP100" s="15">
        <f>IF($D100=AP$1,$R100,IF($E100=AP$1,$S100,AP99))</f>
        <v/>
      </c>
      <c r="AQ100" s="15">
        <f>IF($D100=AQ$1,$R100,IF($E100=AQ$1,$S100,AQ99))</f>
        <v/>
      </c>
      <c r="AR100" s="15">
        <f>IF($D100=AR$1,$R100,IF($E100=AR$1,$S100,AR99))</f>
        <v/>
      </c>
      <c r="AS100" s="15">
        <f>IF($D100=AS$1,$R100,IF($E100=AS$1,$S100,AS99))</f>
        <v/>
      </c>
      <c r="AT100" s="15">
        <f>IF($D100=AT$1,$R100,IF($E100=AT$1,$S100,AT99))</f>
        <v/>
      </c>
      <c r="AU100" s="15">
        <f>IF($D100=AU$1,$R100,IF($E100=AU$1,$S100,AU99))</f>
        <v/>
      </c>
      <c r="AV100" s="15">
        <f>IF($D100=AV$1,$R100,IF($E100=AV$1,$S100,AV99))</f>
        <v/>
      </c>
      <c r="AW100" s="15">
        <f>IF($D100=AW$1,$R100,IF($E100=AW$1,$S100,AW99))</f>
        <v/>
      </c>
      <c r="AX100" s="15">
        <f>IF($D100=AX$1,$R100,IF($E100=AX$1,$S100,AX99))</f>
        <v/>
      </c>
      <c r="AY100" s="15">
        <f>IF($D100=AY$1,$R100,IF($E100=AY$1,$S100,AY99))</f>
        <v/>
      </c>
      <c r="AZ100" s="15">
        <f>IF($D100=AZ$1,$R100,IF($E100=AZ$1,$S100,AZ99))</f>
        <v/>
      </c>
      <c r="BA100" s="15">
        <f>IF($D100=BA$1,$R100,IF($E100=BA$1,$S100,BA99))</f>
        <v/>
      </c>
      <c r="BB100" s="15">
        <f>IF($D100=BB$1,$R100,IF($E100=BB$1,$S100,BB99))</f>
        <v/>
      </c>
      <c r="BC100" s="15">
        <f>IF($D100=BC$1,$R100,IF($E100=BC$1,$S100,BC99))</f>
        <v/>
      </c>
      <c r="BD100" s="15">
        <f>IF($D100=BD$1,$R100,IF($E100=BD$1,$S100,BD99))</f>
        <v/>
      </c>
      <c r="BE100" s="15">
        <f>IF($D100=BE$1,$R100,IF($E100=BE$1,$S100,BE99))</f>
        <v/>
      </c>
      <c r="BF100" s="15">
        <f>IF($D100=BF$1,$R100,IF($E100=BF$1,$S100,BF99))</f>
        <v/>
      </c>
      <c r="BG100" s="15">
        <f>IF($D100=BG$1,$R100,IF($E100=BG$1,$S100,BG99))</f>
        <v/>
      </c>
      <c r="BH100" s="15">
        <f>IF($D100=BH$1,$R100,IF($E100=BH$1,$S100,BH99))</f>
        <v/>
      </c>
      <c r="BI100" s="15">
        <f>IF($D100=BI$1,$R100,IF($E100=BI$1,$S100,BI99))</f>
        <v/>
      </c>
      <c r="BJ100" s="15">
        <f>IF($D100=BJ$1,$R100,IF($E100=BJ$1,$S100,BJ99))</f>
        <v/>
      </c>
      <c r="BK100" s="15">
        <f>IF($D100=BK$1,$R100,IF($E100=BK$1,$S100,BK99))</f>
        <v/>
      </c>
      <c r="BL100" s="15">
        <f>IF($D100=BL$1,$R100,IF($E100=BL$1,$S100,BL99))</f>
        <v/>
      </c>
      <c r="BM100" s="15">
        <f>IF($D100=BM$1,$R100,IF($E100=BM$1,$S100,BM99))</f>
        <v/>
      </c>
      <c r="BN100" s="15">
        <f>IF($D100=BN$1,$R100,IF($E100=BN$1,$S100,BN99))</f>
        <v/>
      </c>
      <c r="BO100" s="15">
        <f>IF($D100=BO$1,$R100,IF($E100=BO$1,$S100,BO99))</f>
        <v/>
      </c>
      <c r="BP100" s="15">
        <f>IF($D100=BP$1,$R100,IF($E100=BP$1,$S100,BP99))</f>
        <v/>
      </c>
      <c r="BQ100" s="15">
        <f>IF($D100=BQ$1,$R100,IF($E100=BQ$1,$S100,BQ99))</f>
        <v/>
      </c>
      <c r="BR100" s="15">
        <f>IF($D100=BR$1,$R100,IF($E100=BR$1,$S100,BR99))</f>
        <v/>
      </c>
      <c r="BS100" s="15">
        <f>IF($D100=BS$1,$R100,IF($E100=BS$1,$S100,BS99))</f>
        <v/>
      </c>
      <c r="BT100" s="15">
        <f>IF($D100=BT$1,$R100,IF($E100=BT$1,$S100,BT99))</f>
        <v/>
      </c>
      <c r="BU100" s="15">
        <f>IF($D100=BU$1,$R100,IF($E100=BU$1,$S100,BU99))</f>
        <v/>
      </c>
      <c r="BV100" s="15">
        <f>IF($D100=BV$1,$R100,IF($E100=BV$1,$S100,BV99))</f>
        <v/>
      </c>
      <c r="BW100" s="15">
        <f>IF($D100=BW$1,$R100,IF($E100=BW$1,$S100,BW99))</f>
        <v/>
      </c>
      <c r="BX100" s="15">
        <f>IF($D100=BX$1,$R100,IF($E100=BX$1,$S100,BX99))</f>
        <v/>
      </c>
      <c r="BY100" s="15">
        <f>IF($D100=BY$1,$R100,IF($E100=BY$1,$S100,BY99))</f>
        <v/>
      </c>
      <c r="BZ100" s="15">
        <f>IF($D100=BZ$1,$R100,IF($E100=BZ$1,$S100,BZ99))</f>
        <v/>
      </c>
    </row>
    <row r="101" ht="15" customHeight="1">
      <c r="A101" s="7">
        <f>Fixture!A100</f>
        <v/>
      </c>
      <c r="B101" s="7">
        <f>Fixture!B100</f>
        <v/>
      </c>
      <c r="C101" s="7">
        <f>Fixture!C100</f>
        <v/>
      </c>
      <c r="D101" s="7">
        <f>Fixture!E100</f>
        <v/>
      </c>
      <c r="E101" s="7">
        <f>Fixture!F100</f>
        <v/>
      </c>
      <c r="F101" s="7">
        <f>Fixture!J100</f>
        <v/>
      </c>
      <c r="G101" s="7">
        <f>Fixture!K100</f>
        <v/>
      </c>
      <c r="H101" s="7">
        <f>IF(ISNUMBER(Resultados!B100),1,0)</f>
        <v/>
      </c>
      <c r="I101" s="7">
        <f>IF($H101=1,Resultados!B100,0)</f>
        <v/>
      </c>
      <c r="J101" s="7">
        <f>IF($H101=1,Resultados!C100,0)</f>
        <v/>
      </c>
      <c r="K101" s="12">
        <f>IFERROR(INDEX($AE100:$BZ100,MATCH($D101,$AE$1:$BZ$1,0)),"")</f>
        <v/>
      </c>
      <c r="L101" s="12">
        <f>IFERROR(INDEX($AE100:$BZ100,MATCH($E101,$AE$1:$BZ$1,0)),"")</f>
        <v/>
      </c>
      <c r="M101" s="12">
        <f>IF(OR($K101="",$L101=""),"",($K101+100*$F101)-($L101+100*$G101))</f>
        <v/>
      </c>
      <c r="N101" s="13">
        <f>IF($M101="","",1/(1+10^(-$M101/400)))</f>
        <v/>
      </c>
      <c r="O101" s="7">
        <f>IF(OR($H101=0,$N101=""),"",IF($I101&gt;$J101,1,IF($I101=$J101,0.5,0)))</f>
        <v/>
      </c>
      <c r="P101" s="14">
        <f>IF($O101="","",IF(ABS($I101-$J101)&lt;=1,1,IF(ABS($I101-$J101)=2,1.5,IF(ABS($I101-$J101)=3,1.75,1.75+(ABS($I101-$J101)-3)/8))))</f>
        <v/>
      </c>
      <c r="Q101" s="14">
        <f>IF($O101="",0,Equipos!$O$4*$P101*($O101-$N101))</f>
        <v/>
      </c>
      <c r="R101" s="12">
        <f>IF($K101="","",$K101+$Q101)</f>
        <v/>
      </c>
      <c r="S101" s="12">
        <f>IF($L101="","",$L101-$Q101)</f>
        <v/>
      </c>
      <c r="T101" s="14">
        <f>IF($M101="","",Equipos!$O$3*$M101)</f>
        <v/>
      </c>
      <c r="U101" s="14">
        <f>IFERROR(VLOOKUP($D101,Equipos!$A:$H,6,0),"")</f>
        <v/>
      </c>
      <c r="V101" s="14">
        <f>IFERROR(VLOOKUP($D101,Equipos!$A:$H,7,0),"")</f>
        <v/>
      </c>
      <c r="W101" s="14">
        <f>IFERROR(VLOOKUP($E101,Equipos!$A:$H,6,0),"")</f>
        <v/>
      </c>
      <c r="X101" s="14">
        <f>IFERROR(VLOOKUP($E101,Equipos!$A:$H,7,0),"")</f>
        <v/>
      </c>
      <c r="Y101" s="14">
        <f>IF(OR($U101="",$W101=""),"",MIN(3.6,MAX(1.8,Equipos!$O$2*SQRT($U101*$W101*$V101*$X101))))</f>
        <v/>
      </c>
      <c r="Z101" s="14">
        <f>IF(OR($Y101="",$T101=""),"",MAX(0.2,($Y101+$T101)/2))</f>
        <v/>
      </c>
      <c r="AA101" s="14">
        <f>IF(OR($Y101="",$T101=""),"",MAX(0.2,($Y101-$T101)/2))</f>
        <v/>
      </c>
      <c r="AE101" s="15">
        <f>IF($D101=AE$1,$R101,IF($E101=AE$1,$S101,AE100))</f>
        <v/>
      </c>
      <c r="AF101" s="15">
        <f>IF($D101=AF$1,$R101,IF($E101=AF$1,$S101,AF100))</f>
        <v/>
      </c>
      <c r="AG101" s="15">
        <f>IF($D101=AG$1,$R101,IF($E101=AG$1,$S101,AG100))</f>
        <v/>
      </c>
      <c r="AH101" s="15">
        <f>IF($D101=AH$1,$R101,IF($E101=AH$1,$S101,AH100))</f>
        <v/>
      </c>
      <c r="AI101" s="15">
        <f>IF($D101=AI$1,$R101,IF($E101=AI$1,$S101,AI100))</f>
        <v/>
      </c>
      <c r="AJ101" s="15">
        <f>IF($D101=AJ$1,$R101,IF($E101=AJ$1,$S101,AJ100))</f>
        <v/>
      </c>
      <c r="AK101" s="15">
        <f>IF($D101=AK$1,$R101,IF($E101=AK$1,$S101,AK100))</f>
        <v/>
      </c>
      <c r="AL101" s="15">
        <f>IF($D101=AL$1,$R101,IF($E101=AL$1,$S101,AL100))</f>
        <v/>
      </c>
      <c r="AM101" s="15">
        <f>IF($D101=AM$1,$R101,IF($E101=AM$1,$S101,AM100))</f>
        <v/>
      </c>
      <c r="AN101" s="15">
        <f>IF($D101=AN$1,$R101,IF($E101=AN$1,$S101,AN100))</f>
        <v/>
      </c>
      <c r="AO101" s="15">
        <f>IF($D101=AO$1,$R101,IF($E101=AO$1,$S101,AO100))</f>
        <v/>
      </c>
      <c r="AP101" s="15">
        <f>IF($D101=AP$1,$R101,IF($E101=AP$1,$S101,AP100))</f>
        <v/>
      </c>
      <c r="AQ101" s="15">
        <f>IF($D101=AQ$1,$R101,IF($E101=AQ$1,$S101,AQ100))</f>
        <v/>
      </c>
      <c r="AR101" s="15">
        <f>IF($D101=AR$1,$R101,IF($E101=AR$1,$S101,AR100))</f>
        <v/>
      </c>
      <c r="AS101" s="15">
        <f>IF($D101=AS$1,$R101,IF($E101=AS$1,$S101,AS100))</f>
        <v/>
      </c>
      <c r="AT101" s="15">
        <f>IF($D101=AT$1,$R101,IF($E101=AT$1,$S101,AT100))</f>
        <v/>
      </c>
      <c r="AU101" s="15">
        <f>IF($D101=AU$1,$R101,IF($E101=AU$1,$S101,AU100))</f>
        <v/>
      </c>
      <c r="AV101" s="15">
        <f>IF($D101=AV$1,$R101,IF($E101=AV$1,$S101,AV100))</f>
        <v/>
      </c>
      <c r="AW101" s="15">
        <f>IF($D101=AW$1,$R101,IF($E101=AW$1,$S101,AW100))</f>
        <v/>
      </c>
      <c r="AX101" s="15">
        <f>IF($D101=AX$1,$R101,IF($E101=AX$1,$S101,AX100))</f>
        <v/>
      </c>
      <c r="AY101" s="15">
        <f>IF($D101=AY$1,$R101,IF($E101=AY$1,$S101,AY100))</f>
        <v/>
      </c>
      <c r="AZ101" s="15">
        <f>IF($D101=AZ$1,$R101,IF($E101=AZ$1,$S101,AZ100))</f>
        <v/>
      </c>
      <c r="BA101" s="15">
        <f>IF($D101=BA$1,$R101,IF($E101=BA$1,$S101,BA100))</f>
        <v/>
      </c>
      <c r="BB101" s="15">
        <f>IF($D101=BB$1,$R101,IF($E101=BB$1,$S101,BB100))</f>
        <v/>
      </c>
      <c r="BC101" s="15">
        <f>IF($D101=BC$1,$R101,IF($E101=BC$1,$S101,BC100))</f>
        <v/>
      </c>
      <c r="BD101" s="15">
        <f>IF($D101=BD$1,$R101,IF($E101=BD$1,$S101,BD100))</f>
        <v/>
      </c>
      <c r="BE101" s="15">
        <f>IF($D101=BE$1,$R101,IF($E101=BE$1,$S101,BE100))</f>
        <v/>
      </c>
      <c r="BF101" s="15">
        <f>IF($D101=BF$1,$R101,IF($E101=BF$1,$S101,BF100))</f>
        <v/>
      </c>
      <c r="BG101" s="15">
        <f>IF($D101=BG$1,$R101,IF($E101=BG$1,$S101,BG100))</f>
        <v/>
      </c>
      <c r="BH101" s="15">
        <f>IF($D101=BH$1,$R101,IF($E101=BH$1,$S101,BH100))</f>
        <v/>
      </c>
      <c r="BI101" s="15">
        <f>IF($D101=BI$1,$R101,IF($E101=BI$1,$S101,BI100))</f>
        <v/>
      </c>
      <c r="BJ101" s="15">
        <f>IF($D101=BJ$1,$R101,IF($E101=BJ$1,$S101,BJ100))</f>
        <v/>
      </c>
      <c r="BK101" s="15">
        <f>IF($D101=BK$1,$R101,IF($E101=BK$1,$S101,BK100))</f>
        <v/>
      </c>
      <c r="BL101" s="15">
        <f>IF($D101=BL$1,$R101,IF($E101=BL$1,$S101,BL100))</f>
        <v/>
      </c>
      <c r="BM101" s="15">
        <f>IF($D101=BM$1,$R101,IF($E101=BM$1,$S101,BM100))</f>
        <v/>
      </c>
      <c r="BN101" s="15">
        <f>IF($D101=BN$1,$R101,IF($E101=BN$1,$S101,BN100))</f>
        <v/>
      </c>
      <c r="BO101" s="15">
        <f>IF($D101=BO$1,$R101,IF($E101=BO$1,$S101,BO100))</f>
        <v/>
      </c>
      <c r="BP101" s="15">
        <f>IF($D101=BP$1,$R101,IF($E101=BP$1,$S101,BP100))</f>
        <v/>
      </c>
      <c r="BQ101" s="15">
        <f>IF($D101=BQ$1,$R101,IF($E101=BQ$1,$S101,BQ100))</f>
        <v/>
      </c>
      <c r="BR101" s="15">
        <f>IF($D101=BR$1,$R101,IF($E101=BR$1,$S101,BR100))</f>
        <v/>
      </c>
      <c r="BS101" s="15">
        <f>IF($D101=BS$1,$R101,IF($E101=BS$1,$S101,BS100))</f>
        <v/>
      </c>
      <c r="BT101" s="15">
        <f>IF($D101=BT$1,$R101,IF($E101=BT$1,$S101,BT100))</f>
        <v/>
      </c>
      <c r="BU101" s="15">
        <f>IF($D101=BU$1,$R101,IF($E101=BU$1,$S101,BU100))</f>
        <v/>
      </c>
      <c r="BV101" s="15">
        <f>IF($D101=BV$1,$R101,IF($E101=BV$1,$S101,BV100))</f>
        <v/>
      </c>
      <c r="BW101" s="15">
        <f>IF($D101=BW$1,$R101,IF($E101=BW$1,$S101,BW100))</f>
        <v/>
      </c>
      <c r="BX101" s="15">
        <f>IF($D101=BX$1,$R101,IF($E101=BX$1,$S101,BX100))</f>
        <v/>
      </c>
      <c r="BY101" s="15">
        <f>IF($D101=BY$1,$R101,IF($E101=BY$1,$S101,BY100))</f>
        <v/>
      </c>
      <c r="BZ101" s="15">
        <f>IF($D101=BZ$1,$R101,IF($E101=BZ$1,$S101,BZ100))</f>
        <v/>
      </c>
    </row>
    <row r="102" ht="15" customHeight="1">
      <c r="A102" s="7">
        <f>Fixture!A101</f>
        <v/>
      </c>
      <c r="B102" s="7">
        <f>Fixture!B101</f>
        <v/>
      </c>
      <c r="C102" s="7">
        <f>Fixture!C101</f>
        <v/>
      </c>
      <c r="D102" s="7">
        <f>Fixture!E101</f>
        <v/>
      </c>
      <c r="E102" s="7">
        <f>Fixture!F101</f>
        <v/>
      </c>
      <c r="F102" s="7">
        <f>Fixture!J101</f>
        <v/>
      </c>
      <c r="G102" s="7">
        <f>Fixture!K101</f>
        <v/>
      </c>
      <c r="H102" s="7">
        <f>IF(ISNUMBER(Resultados!B101),1,0)</f>
        <v/>
      </c>
      <c r="I102" s="7">
        <f>IF($H102=1,Resultados!B101,0)</f>
        <v/>
      </c>
      <c r="J102" s="7">
        <f>IF($H102=1,Resultados!C101,0)</f>
        <v/>
      </c>
      <c r="K102" s="12">
        <f>IFERROR(INDEX($AE101:$BZ101,MATCH($D102,$AE$1:$BZ$1,0)),"")</f>
        <v/>
      </c>
      <c r="L102" s="12">
        <f>IFERROR(INDEX($AE101:$BZ101,MATCH($E102,$AE$1:$BZ$1,0)),"")</f>
        <v/>
      </c>
      <c r="M102" s="12">
        <f>IF(OR($K102="",$L102=""),"",($K102+100*$F102)-($L102+100*$G102))</f>
        <v/>
      </c>
      <c r="N102" s="13">
        <f>IF($M102="","",1/(1+10^(-$M102/400)))</f>
        <v/>
      </c>
      <c r="O102" s="7">
        <f>IF(OR($H102=0,$N102=""),"",IF($I102&gt;$J102,1,IF($I102=$J102,0.5,0)))</f>
        <v/>
      </c>
      <c r="P102" s="14">
        <f>IF($O102="","",IF(ABS($I102-$J102)&lt;=1,1,IF(ABS($I102-$J102)=2,1.5,IF(ABS($I102-$J102)=3,1.75,1.75+(ABS($I102-$J102)-3)/8))))</f>
        <v/>
      </c>
      <c r="Q102" s="14">
        <f>IF($O102="",0,Equipos!$O$4*$P102*($O102-$N102))</f>
        <v/>
      </c>
      <c r="R102" s="12">
        <f>IF($K102="","",$K102+$Q102)</f>
        <v/>
      </c>
      <c r="S102" s="12">
        <f>IF($L102="","",$L102-$Q102)</f>
        <v/>
      </c>
      <c r="T102" s="14">
        <f>IF($M102="","",Equipos!$O$3*$M102)</f>
        <v/>
      </c>
      <c r="U102" s="14">
        <f>IFERROR(VLOOKUP($D102,Equipos!$A:$H,6,0),"")</f>
        <v/>
      </c>
      <c r="V102" s="14">
        <f>IFERROR(VLOOKUP($D102,Equipos!$A:$H,7,0),"")</f>
        <v/>
      </c>
      <c r="W102" s="14">
        <f>IFERROR(VLOOKUP($E102,Equipos!$A:$H,6,0),"")</f>
        <v/>
      </c>
      <c r="X102" s="14">
        <f>IFERROR(VLOOKUP($E102,Equipos!$A:$H,7,0),"")</f>
        <v/>
      </c>
      <c r="Y102" s="14">
        <f>IF(OR($U102="",$W102=""),"",MIN(3.6,MAX(1.8,Equipos!$O$2*SQRT($U102*$W102*$V102*$X102))))</f>
        <v/>
      </c>
      <c r="Z102" s="14">
        <f>IF(OR($Y102="",$T102=""),"",MAX(0.2,($Y102+$T102)/2))</f>
        <v/>
      </c>
      <c r="AA102" s="14">
        <f>IF(OR($Y102="",$T102=""),"",MAX(0.2,($Y102-$T102)/2))</f>
        <v/>
      </c>
      <c r="AE102" s="15">
        <f>IF($D102=AE$1,$R102,IF($E102=AE$1,$S102,AE101))</f>
        <v/>
      </c>
      <c r="AF102" s="15">
        <f>IF($D102=AF$1,$R102,IF($E102=AF$1,$S102,AF101))</f>
        <v/>
      </c>
      <c r="AG102" s="15">
        <f>IF($D102=AG$1,$R102,IF($E102=AG$1,$S102,AG101))</f>
        <v/>
      </c>
      <c r="AH102" s="15">
        <f>IF($D102=AH$1,$R102,IF($E102=AH$1,$S102,AH101))</f>
        <v/>
      </c>
      <c r="AI102" s="15">
        <f>IF($D102=AI$1,$R102,IF($E102=AI$1,$S102,AI101))</f>
        <v/>
      </c>
      <c r="AJ102" s="15">
        <f>IF($D102=AJ$1,$R102,IF($E102=AJ$1,$S102,AJ101))</f>
        <v/>
      </c>
      <c r="AK102" s="15">
        <f>IF($D102=AK$1,$R102,IF($E102=AK$1,$S102,AK101))</f>
        <v/>
      </c>
      <c r="AL102" s="15">
        <f>IF($D102=AL$1,$R102,IF($E102=AL$1,$S102,AL101))</f>
        <v/>
      </c>
      <c r="AM102" s="15">
        <f>IF($D102=AM$1,$R102,IF($E102=AM$1,$S102,AM101))</f>
        <v/>
      </c>
      <c r="AN102" s="15">
        <f>IF($D102=AN$1,$R102,IF($E102=AN$1,$S102,AN101))</f>
        <v/>
      </c>
      <c r="AO102" s="15">
        <f>IF($D102=AO$1,$R102,IF($E102=AO$1,$S102,AO101))</f>
        <v/>
      </c>
      <c r="AP102" s="15">
        <f>IF($D102=AP$1,$R102,IF($E102=AP$1,$S102,AP101))</f>
        <v/>
      </c>
      <c r="AQ102" s="15">
        <f>IF($D102=AQ$1,$R102,IF($E102=AQ$1,$S102,AQ101))</f>
        <v/>
      </c>
      <c r="AR102" s="15">
        <f>IF($D102=AR$1,$R102,IF($E102=AR$1,$S102,AR101))</f>
        <v/>
      </c>
      <c r="AS102" s="15">
        <f>IF($D102=AS$1,$R102,IF($E102=AS$1,$S102,AS101))</f>
        <v/>
      </c>
      <c r="AT102" s="15">
        <f>IF($D102=AT$1,$R102,IF($E102=AT$1,$S102,AT101))</f>
        <v/>
      </c>
      <c r="AU102" s="15">
        <f>IF($D102=AU$1,$R102,IF($E102=AU$1,$S102,AU101))</f>
        <v/>
      </c>
      <c r="AV102" s="15">
        <f>IF($D102=AV$1,$R102,IF($E102=AV$1,$S102,AV101))</f>
        <v/>
      </c>
      <c r="AW102" s="15">
        <f>IF($D102=AW$1,$R102,IF($E102=AW$1,$S102,AW101))</f>
        <v/>
      </c>
      <c r="AX102" s="15">
        <f>IF($D102=AX$1,$R102,IF($E102=AX$1,$S102,AX101))</f>
        <v/>
      </c>
      <c r="AY102" s="15">
        <f>IF($D102=AY$1,$R102,IF($E102=AY$1,$S102,AY101))</f>
        <v/>
      </c>
      <c r="AZ102" s="15">
        <f>IF($D102=AZ$1,$R102,IF($E102=AZ$1,$S102,AZ101))</f>
        <v/>
      </c>
      <c r="BA102" s="15">
        <f>IF($D102=BA$1,$R102,IF($E102=BA$1,$S102,BA101))</f>
        <v/>
      </c>
      <c r="BB102" s="15">
        <f>IF($D102=BB$1,$R102,IF($E102=BB$1,$S102,BB101))</f>
        <v/>
      </c>
      <c r="BC102" s="15">
        <f>IF($D102=BC$1,$R102,IF($E102=BC$1,$S102,BC101))</f>
        <v/>
      </c>
      <c r="BD102" s="15">
        <f>IF($D102=BD$1,$R102,IF($E102=BD$1,$S102,BD101))</f>
        <v/>
      </c>
      <c r="BE102" s="15">
        <f>IF($D102=BE$1,$R102,IF($E102=BE$1,$S102,BE101))</f>
        <v/>
      </c>
      <c r="BF102" s="15">
        <f>IF($D102=BF$1,$R102,IF($E102=BF$1,$S102,BF101))</f>
        <v/>
      </c>
      <c r="BG102" s="15">
        <f>IF($D102=BG$1,$R102,IF($E102=BG$1,$S102,BG101))</f>
        <v/>
      </c>
      <c r="BH102" s="15">
        <f>IF($D102=BH$1,$R102,IF($E102=BH$1,$S102,BH101))</f>
        <v/>
      </c>
      <c r="BI102" s="15">
        <f>IF($D102=BI$1,$R102,IF($E102=BI$1,$S102,BI101))</f>
        <v/>
      </c>
      <c r="BJ102" s="15">
        <f>IF($D102=BJ$1,$R102,IF($E102=BJ$1,$S102,BJ101))</f>
        <v/>
      </c>
      <c r="BK102" s="15">
        <f>IF($D102=BK$1,$R102,IF($E102=BK$1,$S102,BK101))</f>
        <v/>
      </c>
      <c r="BL102" s="15">
        <f>IF($D102=BL$1,$R102,IF($E102=BL$1,$S102,BL101))</f>
        <v/>
      </c>
      <c r="BM102" s="15">
        <f>IF($D102=BM$1,$R102,IF($E102=BM$1,$S102,BM101))</f>
        <v/>
      </c>
      <c r="BN102" s="15">
        <f>IF($D102=BN$1,$R102,IF($E102=BN$1,$S102,BN101))</f>
        <v/>
      </c>
      <c r="BO102" s="15">
        <f>IF($D102=BO$1,$R102,IF($E102=BO$1,$S102,BO101))</f>
        <v/>
      </c>
      <c r="BP102" s="15">
        <f>IF($D102=BP$1,$R102,IF($E102=BP$1,$S102,BP101))</f>
        <v/>
      </c>
      <c r="BQ102" s="15">
        <f>IF($D102=BQ$1,$R102,IF($E102=BQ$1,$S102,BQ101))</f>
        <v/>
      </c>
      <c r="BR102" s="15">
        <f>IF($D102=BR$1,$R102,IF($E102=BR$1,$S102,BR101))</f>
        <v/>
      </c>
      <c r="BS102" s="15">
        <f>IF($D102=BS$1,$R102,IF($E102=BS$1,$S102,BS101))</f>
        <v/>
      </c>
      <c r="BT102" s="15">
        <f>IF($D102=BT$1,$R102,IF($E102=BT$1,$S102,BT101))</f>
        <v/>
      </c>
      <c r="BU102" s="15">
        <f>IF($D102=BU$1,$R102,IF($E102=BU$1,$S102,BU101))</f>
        <v/>
      </c>
      <c r="BV102" s="15">
        <f>IF($D102=BV$1,$R102,IF($E102=BV$1,$S102,BV101))</f>
        <v/>
      </c>
      <c r="BW102" s="15">
        <f>IF($D102=BW$1,$R102,IF($E102=BW$1,$S102,BW101))</f>
        <v/>
      </c>
      <c r="BX102" s="15">
        <f>IF($D102=BX$1,$R102,IF($E102=BX$1,$S102,BX101))</f>
        <v/>
      </c>
      <c r="BY102" s="15">
        <f>IF($D102=BY$1,$R102,IF($E102=BY$1,$S102,BY101))</f>
        <v/>
      </c>
      <c r="BZ102" s="15">
        <f>IF($D102=BZ$1,$R102,IF($E102=BZ$1,$S102,BZ101))</f>
        <v/>
      </c>
    </row>
    <row r="103" ht="15" customHeight="1">
      <c r="A103" s="7">
        <f>Fixture!A102</f>
        <v/>
      </c>
      <c r="B103" s="7">
        <f>Fixture!B102</f>
        <v/>
      </c>
      <c r="C103" s="7">
        <f>Fixture!C102</f>
        <v/>
      </c>
      <c r="D103" s="7">
        <f>Fixture!E102</f>
        <v/>
      </c>
      <c r="E103" s="7">
        <f>Fixture!F102</f>
        <v/>
      </c>
      <c r="F103" s="7">
        <f>Fixture!J102</f>
        <v/>
      </c>
      <c r="G103" s="7">
        <f>Fixture!K102</f>
        <v/>
      </c>
      <c r="H103" s="7">
        <f>IF(ISNUMBER(Resultados!B102),1,0)</f>
        <v/>
      </c>
      <c r="I103" s="7">
        <f>IF($H103=1,Resultados!B102,0)</f>
        <v/>
      </c>
      <c r="J103" s="7">
        <f>IF($H103=1,Resultados!C102,0)</f>
        <v/>
      </c>
      <c r="K103" s="12">
        <f>IFERROR(INDEX($AE102:$BZ102,MATCH($D103,$AE$1:$BZ$1,0)),"")</f>
        <v/>
      </c>
      <c r="L103" s="12">
        <f>IFERROR(INDEX($AE102:$BZ102,MATCH($E103,$AE$1:$BZ$1,0)),"")</f>
        <v/>
      </c>
      <c r="M103" s="12">
        <f>IF(OR($K103="",$L103=""),"",($K103+100*$F103)-($L103+100*$G103))</f>
        <v/>
      </c>
      <c r="N103" s="13">
        <f>IF($M103="","",1/(1+10^(-$M103/400)))</f>
        <v/>
      </c>
      <c r="O103" s="7">
        <f>IF(OR($H103=0,$N103=""),"",IF($I103&gt;$J103,1,IF($I103=$J103,0.5,0)))</f>
        <v/>
      </c>
      <c r="P103" s="14">
        <f>IF($O103="","",IF(ABS($I103-$J103)&lt;=1,1,IF(ABS($I103-$J103)=2,1.5,IF(ABS($I103-$J103)=3,1.75,1.75+(ABS($I103-$J103)-3)/8))))</f>
        <v/>
      </c>
      <c r="Q103" s="14">
        <f>IF($O103="",0,Equipos!$O$4*$P103*($O103-$N103))</f>
        <v/>
      </c>
      <c r="R103" s="12">
        <f>IF($K103="","",$K103+$Q103)</f>
        <v/>
      </c>
      <c r="S103" s="12">
        <f>IF($L103="","",$L103-$Q103)</f>
        <v/>
      </c>
      <c r="T103" s="14">
        <f>IF($M103="","",Equipos!$O$3*$M103)</f>
        <v/>
      </c>
      <c r="U103" s="14">
        <f>IFERROR(VLOOKUP($D103,Equipos!$A:$H,6,0),"")</f>
        <v/>
      </c>
      <c r="V103" s="14">
        <f>IFERROR(VLOOKUP($D103,Equipos!$A:$H,7,0),"")</f>
        <v/>
      </c>
      <c r="W103" s="14">
        <f>IFERROR(VLOOKUP($E103,Equipos!$A:$H,6,0),"")</f>
        <v/>
      </c>
      <c r="X103" s="14">
        <f>IFERROR(VLOOKUP($E103,Equipos!$A:$H,7,0),"")</f>
        <v/>
      </c>
      <c r="Y103" s="14">
        <f>IF(OR($U103="",$W103=""),"",MIN(3.6,MAX(1.8,Equipos!$O$2*SQRT($U103*$W103*$V103*$X103))))</f>
        <v/>
      </c>
      <c r="Z103" s="14">
        <f>IF(OR($Y103="",$T103=""),"",MAX(0.2,($Y103+$T103)/2))</f>
        <v/>
      </c>
      <c r="AA103" s="14">
        <f>IF(OR($Y103="",$T103=""),"",MAX(0.2,($Y103-$T103)/2))</f>
        <v/>
      </c>
      <c r="AE103" s="15">
        <f>IF($D103=AE$1,$R103,IF($E103=AE$1,$S103,AE102))</f>
        <v/>
      </c>
      <c r="AF103" s="15">
        <f>IF($D103=AF$1,$R103,IF($E103=AF$1,$S103,AF102))</f>
        <v/>
      </c>
      <c r="AG103" s="15">
        <f>IF($D103=AG$1,$R103,IF($E103=AG$1,$S103,AG102))</f>
        <v/>
      </c>
      <c r="AH103" s="15">
        <f>IF($D103=AH$1,$R103,IF($E103=AH$1,$S103,AH102))</f>
        <v/>
      </c>
      <c r="AI103" s="15">
        <f>IF($D103=AI$1,$R103,IF($E103=AI$1,$S103,AI102))</f>
        <v/>
      </c>
      <c r="AJ103" s="15">
        <f>IF($D103=AJ$1,$R103,IF($E103=AJ$1,$S103,AJ102))</f>
        <v/>
      </c>
      <c r="AK103" s="15">
        <f>IF($D103=AK$1,$R103,IF($E103=AK$1,$S103,AK102))</f>
        <v/>
      </c>
      <c r="AL103" s="15">
        <f>IF($D103=AL$1,$R103,IF($E103=AL$1,$S103,AL102))</f>
        <v/>
      </c>
      <c r="AM103" s="15">
        <f>IF($D103=AM$1,$R103,IF($E103=AM$1,$S103,AM102))</f>
        <v/>
      </c>
      <c r="AN103" s="15">
        <f>IF($D103=AN$1,$R103,IF($E103=AN$1,$S103,AN102))</f>
        <v/>
      </c>
      <c r="AO103" s="15">
        <f>IF($D103=AO$1,$R103,IF($E103=AO$1,$S103,AO102))</f>
        <v/>
      </c>
      <c r="AP103" s="15">
        <f>IF($D103=AP$1,$R103,IF($E103=AP$1,$S103,AP102))</f>
        <v/>
      </c>
      <c r="AQ103" s="15">
        <f>IF($D103=AQ$1,$R103,IF($E103=AQ$1,$S103,AQ102))</f>
        <v/>
      </c>
      <c r="AR103" s="15">
        <f>IF($D103=AR$1,$R103,IF($E103=AR$1,$S103,AR102))</f>
        <v/>
      </c>
      <c r="AS103" s="15">
        <f>IF($D103=AS$1,$R103,IF($E103=AS$1,$S103,AS102))</f>
        <v/>
      </c>
      <c r="AT103" s="15">
        <f>IF($D103=AT$1,$R103,IF($E103=AT$1,$S103,AT102))</f>
        <v/>
      </c>
      <c r="AU103" s="15">
        <f>IF($D103=AU$1,$R103,IF($E103=AU$1,$S103,AU102))</f>
        <v/>
      </c>
      <c r="AV103" s="15">
        <f>IF($D103=AV$1,$R103,IF($E103=AV$1,$S103,AV102))</f>
        <v/>
      </c>
      <c r="AW103" s="15">
        <f>IF($D103=AW$1,$R103,IF($E103=AW$1,$S103,AW102))</f>
        <v/>
      </c>
      <c r="AX103" s="15">
        <f>IF($D103=AX$1,$R103,IF($E103=AX$1,$S103,AX102))</f>
        <v/>
      </c>
      <c r="AY103" s="15">
        <f>IF($D103=AY$1,$R103,IF($E103=AY$1,$S103,AY102))</f>
        <v/>
      </c>
      <c r="AZ103" s="15">
        <f>IF($D103=AZ$1,$R103,IF($E103=AZ$1,$S103,AZ102))</f>
        <v/>
      </c>
      <c r="BA103" s="15">
        <f>IF($D103=BA$1,$R103,IF($E103=BA$1,$S103,BA102))</f>
        <v/>
      </c>
      <c r="BB103" s="15">
        <f>IF($D103=BB$1,$R103,IF($E103=BB$1,$S103,BB102))</f>
        <v/>
      </c>
      <c r="BC103" s="15">
        <f>IF($D103=BC$1,$R103,IF($E103=BC$1,$S103,BC102))</f>
        <v/>
      </c>
      <c r="BD103" s="15">
        <f>IF($D103=BD$1,$R103,IF($E103=BD$1,$S103,BD102))</f>
        <v/>
      </c>
      <c r="BE103" s="15">
        <f>IF($D103=BE$1,$R103,IF($E103=BE$1,$S103,BE102))</f>
        <v/>
      </c>
      <c r="BF103" s="15">
        <f>IF($D103=BF$1,$R103,IF($E103=BF$1,$S103,BF102))</f>
        <v/>
      </c>
      <c r="BG103" s="15">
        <f>IF($D103=BG$1,$R103,IF($E103=BG$1,$S103,BG102))</f>
        <v/>
      </c>
      <c r="BH103" s="15">
        <f>IF($D103=BH$1,$R103,IF($E103=BH$1,$S103,BH102))</f>
        <v/>
      </c>
      <c r="BI103" s="15">
        <f>IF($D103=BI$1,$R103,IF($E103=BI$1,$S103,BI102))</f>
        <v/>
      </c>
      <c r="BJ103" s="15">
        <f>IF($D103=BJ$1,$R103,IF($E103=BJ$1,$S103,BJ102))</f>
        <v/>
      </c>
      <c r="BK103" s="15">
        <f>IF($D103=BK$1,$R103,IF($E103=BK$1,$S103,BK102))</f>
        <v/>
      </c>
      <c r="BL103" s="15">
        <f>IF($D103=BL$1,$R103,IF($E103=BL$1,$S103,BL102))</f>
        <v/>
      </c>
      <c r="BM103" s="15">
        <f>IF($D103=BM$1,$R103,IF($E103=BM$1,$S103,BM102))</f>
        <v/>
      </c>
      <c r="BN103" s="15">
        <f>IF($D103=BN$1,$R103,IF($E103=BN$1,$S103,BN102))</f>
        <v/>
      </c>
      <c r="BO103" s="15">
        <f>IF($D103=BO$1,$R103,IF($E103=BO$1,$S103,BO102))</f>
        <v/>
      </c>
      <c r="BP103" s="15">
        <f>IF($D103=BP$1,$R103,IF($E103=BP$1,$S103,BP102))</f>
        <v/>
      </c>
      <c r="BQ103" s="15">
        <f>IF($D103=BQ$1,$R103,IF($E103=BQ$1,$S103,BQ102))</f>
        <v/>
      </c>
      <c r="BR103" s="15">
        <f>IF($D103=BR$1,$R103,IF($E103=BR$1,$S103,BR102))</f>
        <v/>
      </c>
      <c r="BS103" s="15">
        <f>IF($D103=BS$1,$R103,IF($E103=BS$1,$S103,BS102))</f>
        <v/>
      </c>
      <c r="BT103" s="15">
        <f>IF($D103=BT$1,$R103,IF($E103=BT$1,$S103,BT102))</f>
        <v/>
      </c>
      <c r="BU103" s="15">
        <f>IF($D103=BU$1,$R103,IF($E103=BU$1,$S103,BU102))</f>
        <v/>
      </c>
      <c r="BV103" s="15">
        <f>IF($D103=BV$1,$R103,IF($E103=BV$1,$S103,BV102))</f>
        <v/>
      </c>
      <c r="BW103" s="15">
        <f>IF($D103=BW$1,$R103,IF($E103=BW$1,$S103,BW102))</f>
        <v/>
      </c>
      <c r="BX103" s="15">
        <f>IF($D103=BX$1,$R103,IF($E103=BX$1,$S103,BX102))</f>
        <v/>
      </c>
      <c r="BY103" s="15">
        <f>IF($D103=BY$1,$R103,IF($E103=BY$1,$S103,BY102))</f>
        <v/>
      </c>
      <c r="BZ103" s="15">
        <f>IF($D103=BZ$1,$R103,IF($E103=BZ$1,$S103,BZ102))</f>
        <v/>
      </c>
    </row>
    <row r="104" ht="15" customHeight="1">
      <c r="A104" s="7">
        <f>Fixture!A103</f>
        <v/>
      </c>
      <c r="B104" s="7">
        <f>Fixture!B103</f>
        <v/>
      </c>
      <c r="C104" s="7">
        <f>Fixture!C103</f>
        <v/>
      </c>
      <c r="D104" s="7">
        <f>Fixture!E103</f>
        <v/>
      </c>
      <c r="E104" s="7">
        <f>Fixture!F103</f>
        <v/>
      </c>
      <c r="F104" s="7">
        <f>Fixture!J103</f>
        <v/>
      </c>
      <c r="G104" s="7">
        <f>Fixture!K103</f>
        <v/>
      </c>
      <c r="H104" s="7">
        <f>IF(ISNUMBER(Resultados!B103),1,0)</f>
        <v/>
      </c>
      <c r="I104" s="7">
        <f>IF($H104=1,Resultados!B103,0)</f>
        <v/>
      </c>
      <c r="J104" s="7">
        <f>IF($H104=1,Resultados!C103,0)</f>
        <v/>
      </c>
      <c r="K104" s="12">
        <f>IFERROR(INDEX($AE103:$BZ103,MATCH($D104,$AE$1:$BZ$1,0)),"")</f>
        <v/>
      </c>
      <c r="L104" s="12">
        <f>IFERROR(INDEX($AE103:$BZ103,MATCH($E104,$AE$1:$BZ$1,0)),"")</f>
        <v/>
      </c>
      <c r="M104" s="12">
        <f>IF(OR($K104="",$L104=""),"",($K104+100*$F104)-($L104+100*$G104))</f>
        <v/>
      </c>
      <c r="N104" s="13">
        <f>IF($M104="","",1/(1+10^(-$M104/400)))</f>
        <v/>
      </c>
      <c r="O104" s="7">
        <f>IF(OR($H104=0,$N104=""),"",IF($I104&gt;$J104,1,IF($I104=$J104,0.5,0)))</f>
        <v/>
      </c>
      <c r="P104" s="14">
        <f>IF($O104="","",IF(ABS($I104-$J104)&lt;=1,1,IF(ABS($I104-$J104)=2,1.5,IF(ABS($I104-$J104)=3,1.75,1.75+(ABS($I104-$J104)-3)/8))))</f>
        <v/>
      </c>
      <c r="Q104" s="14">
        <f>IF($O104="",0,Equipos!$O$4*$P104*($O104-$N104))</f>
        <v/>
      </c>
      <c r="R104" s="12">
        <f>IF($K104="","",$K104+$Q104)</f>
        <v/>
      </c>
      <c r="S104" s="12">
        <f>IF($L104="","",$L104-$Q104)</f>
        <v/>
      </c>
      <c r="T104" s="14">
        <f>IF($M104="","",Equipos!$O$3*$M104)</f>
        <v/>
      </c>
      <c r="U104" s="14">
        <f>IFERROR(VLOOKUP($D104,Equipos!$A:$H,6,0),"")</f>
        <v/>
      </c>
      <c r="V104" s="14">
        <f>IFERROR(VLOOKUP($D104,Equipos!$A:$H,7,0),"")</f>
        <v/>
      </c>
      <c r="W104" s="14">
        <f>IFERROR(VLOOKUP($E104,Equipos!$A:$H,6,0),"")</f>
        <v/>
      </c>
      <c r="X104" s="14">
        <f>IFERROR(VLOOKUP($E104,Equipos!$A:$H,7,0),"")</f>
        <v/>
      </c>
      <c r="Y104" s="14">
        <f>IF(OR($U104="",$W104=""),"",MIN(3.6,MAX(1.8,Equipos!$O$2*SQRT($U104*$W104*$V104*$X104))))</f>
        <v/>
      </c>
      <c r="Z104" s="14">
        <f>IF(OR($Y104="",$T104=""),"",MAX(0.2,($Y104+$T104)/2))</f>
        <v/>
      </c>
      <c r="AA104" s="14">
        <f>IF(OR($Y104="",$T104=""),"",MAX(0.2,($Y104-$T104)/2))</f>
        <v/>
      </c>
      <c r="AE104" s="15">
        <f>IF($D104=AE$1,$R104,IF($E104=AE$1,$S104,AE103))</f>
        <v/>
      </c>
      <c r="AF104" s="15">
        <f>IF($D104=AF$1,$R104,IF($E104=AF$1,$S104,AF103))</f>
        <v/>
      </c>
      <c r="AG104" s="15">
        <f>IF($D104=AG$1,$R104,IF($E104=AG$1,$S104,AG103))</f>
        <v/>
      </c>
      <c r="AH104" s="15">
        <f>IF($D104=AH$1,$R104,IF($E104=AH$1,$S104,AH103))</f>
        <v/>
      </c>
      <c r="AI104" s="15">
        <f>IF($D104=AI$1,$R104,IF($E104=AI$1,$S104,AI103))</f>
        <v/>
      </c>
      <c r="AJ104" s="15">
        <f>IF($D104=AJ$1,$R104,IF($E104=AJ$1,$S104,AJ103))</f>
        <v/>
      </c>
      <c r="AK104" s="15">
        <f>IF($D104=AK$1,$R104,IF($E104=AK$1,$S104,AK103))</f>
        <v/>
      </c>
      <c r="AL104" s="15">
        <f>IF($D104=AL$1,$R104,IF($E104=AL$1,$S104,AL103))</f>
        <v/>
      </c>
      <c r="AM104" s="15">
        <f>IF($D104=AM$1,$R104,IF($E104=AM$1,$S104,AM103))</f>
        <v/>
      </c>
      <c r="AN104" s="15">
        <f>IF($D104=AN$1,$R104,IF($E104=AN$1,$S104,AN103))</f>
        <v/>
      </c>
      <c r="AO104" s="15">
        <f>IF($D104=AO$1,$R104,IF($E104=AO$1,$S104,AO103))</f>
        <v/>
      </c>
      <c r="AP104" s="15">
        <f>IF($D104=AP$1,$R104,IF($E104=AP$1,$S104,AP103))</f>
        <v/>
      </c>
      <c r="AQ104" s="15">
        <f>IF($D104=AQ$1,$R104,IF($E104=AQ$1,$S104,AQ103))</f>
        <v/>
      </c>
      <c r="AR104" s="15">
        <f>IF($D104=AR$1,$R104,IF($E104=AR$1,$S104,AR103))</f>
        <v/>
      </c>
      <c r="AS104" s="15">
        <f>IF($D104=AS$1,$R104,IF($E104=AS$1,$S104,AS103))</f>
        <v/>
      </c>
      <c r="AT104" s="15">
        <f>IF($D104=AT$1,$R104,IF($E104=AT$1,$S104,AT103))</f>
        <v/>
      </c>
      <c r="AU104" s="15">
        <f>IF($D104=AU$1,$R104,IF($E104=AU$1,$S104,AU103))</f>
        <v/>
      </c>
      <c r="AV104" s="15">
        <f>IF($D104=AV$1,$R104,IF($E104=AV$1,$S104,AV103))</f>
        <v/>
      </c>
      <c r="AW104" s="15">
        <f>IF($D104=AW$1,$R104,IF($E104=AW$1,$S104,AW103))</f>
        <v/>
      </c>
      <c r="AX104" s="15">
        <f>IF($D104=AX$1,$R104,IF($E104=AX$1,$S104,AX103))</f>
        <v/>
      </c>
      <c r="AY104" s="15">
        <f>IF($D104=AY$1,$R104,IF($E104=AY$1,$S104,AY103))</f>
        <v/>
      </c>
      <c r="AZ104" s="15">
        <f>IF($D104=AZ$1,$R104,IF($E104=AZ$1,$S104,AZ103))</f>
        <v/>
      </c>
      <c r="BA104" s="15">
        <f>IF($D104=BA$1,$R104,IF($E104=BA$1,$S104,BA103))</f>
        <v/>
      </c>
      <c r="BB104" s="15">
        <f>IF($D104=BB$1,$R104,IF($E104=BB$1,$S104,BB103))</f>
        <v/>
      </c>
      <c r="BC104" s="15">
        <f>IF($D104=BC$1,$R104,IF($E104=BC$1,$S104,BC103))</f>
        <v/>
      </c>
      <c r="BD104" s="15">
        <f>IF($D104=BD$1,$R104,IF($E104=BD$1,$S104,BD103))</f>
        <v/>
      </c>
      <c r="BE104" s="15">
        <f>IF($D104=BE$1,$R104,IF($E104=BE$1,$S104,BE103))</f>
        <v/>
      </c>
      <c r="BF104" s="15">
        <f>IF($D104=BF$1,$R104,IF($E104=BF$1,$S104,BF103))</f>
        <v/>
      </c>
      <c r="BG104" s="15">
        <f>IF($D104=BG$1,$R104,IF($E104=BG$1,$S104,BG103))</f>
        <v/>
      </c>
      <c r="BH104" s="15">
        <f>IF($D104=BH$1,$R104,IF($E104=BH$1,$S104,BH103))</f>
        <v/>
      </c>
      <c r="BI104" s="15">
        <f>IF($D104=BI$1,$R104,IF($E104=BI$1,$S104,BI103))</f>
        <v/>
      </c>
      <c r="BJ104" s="15">
        <f>IF($D104=BJ$1,$R104,IF($E104=BJ$1,$S104,BJ103))</f>
        <v/>
      </c>
      <c r="BK104" s="15">
        <f>IF($D104=BK$1,$R104,IF($E104=BK$1,$S104,BK103))</f>
        <v/>
      </c>
      <c r="BL104" s="15">
        <f>IF($D104=BL$1,$R104,IF($E104=BL$1,$S104,BL103))</f>
        <v/>
      </c>
      <c r="BM104" s="15">
        <f>IF($D104=BM$1,$R104,IF($E104=BM$1,$S104,BM103))</f>
        <v/>
      </c>
      <c r="BN104" s="15">
        <f>IF($D104=BN$1,$R104,IF($E104=BN$1,$S104,BN103))</f>
        <v/>
      </c>
      <c r="BO104" s="15">
        <f>IF($D104=BO$1,$R104,IF($E104=BO$1,$S104,BO103))</f>
        <v/>
      </c>
      <c r="BP104" s="15">
        <f>IF($D104=BP$1,$R104,IF($E104=BP$1,$S104,BP103))</f>
        <v/>
      </c>
      <c r="BQ104" s="15">
        <f>IF($D104=BQ$1,$R104,IF($E104=BQ$1,$S104,BQ103))</f>
        <v/>
      </c>
      <c r="BR104" s="15">
        <f>IF($D104=BR$1,$R104,IF($E104=BR$1,$S104,BR103))</f>
        <v/>
      </c>
      <c r="BS104" s="15">
        <f>IF($D104=BS$1,$R104,IF($E104=BS$1,$S104,BS103))</f>
        <v/>
      </c>
      <c r="BT104" s="15">
        <f>IF($D104=BT$1,$R104,IF($E104=BT$1,$S104,BT103))</f>
        <v/>
      </c>
      <c r="BU104" s="15">
        <f>IF($D104=BU$1,$R104,IF($E104=BU$1,$S104,BU103))</f>
        <v/>
      </c>
      <c r="BV104" s="15">
        <f>IF($D104=BV$1,$R104,IF($E104=BV$1,$S104,BV103))</f>
        <v/>
      </c>
      <c r="BW104" s="15">
        <f>IF($D104=BW$1,$R104,IF($E104=BW$1,$S104,BW103))</f>
        <v/>
      </c>
      <c r="BX104" s="15">
        <f>IF($D104=BX$1,$R104,IF($E104=BX$1,$S104,BX103))</f>
        <v/>
      </c>
      <c r="BY104" s="15">
        <f>IF($D104=BY$1,$R104,IF($E104=BY$1,$S104,BY103))</f>
        <v/>
      </c>
      <c r="BZ104" s="15">
        <f>IF($D104=BZ$1,$R104,IF($E104=BZ$1,$S104,BZ103))</f>
        <v/>
      </c>
    </row>
    <row r="105" ht="15" customHeight="1">
      <c r="A105" s="7">
        <f>Fixture!A104</f>
        <v/>
      </c>
      <c r="B105" s="7">
        <f>Fixture!B104</f>
        <v/>
      </c>
      <c r="C105" s="7">
        <f>Fixture!C104</f>
        <v/>
      </c>
      <c r="D105" s="7">
        <f>Fixture!E104</f>
        <v/>
      </c>
      <c r="E105" s="7">
        <f>Fixture!F104</f>
        <v/>
      </c>
      <c r="F105" s="7">
        <f>Fixture!J104</f>
        <v/>
      </c>
      <c r="G105" s="7">
        <f>Fixture!K104</f>
        <v/>
      </c>
      <c r="H105" s="7">
        <f>IF(ISNUMBER(Resultados!B104),1,0)</f>
        <v/>
      </c>
      <c r="I105" s="7">
        <f>IF($H105=1,Resultados!B104,0)</f>
        <v/>
      </c>
      <c r="J105" s="7">
        <f>IF($H105=1,Resultados!C104,0)</f>
        <v/>
      </c>
      <c r="K105" s="12">
        <f>IFERROR(INDEX($AE104:$BZ104,MATCH($D105,$AE$1:$BZ$1,0)),"")</f>
        <v/>
      </c>
      <c r="L105" s="12">
        <f>IFERROR(INDEX($AE104:$BZ104,MATCH($E105,$AE$1:$BZ$1,0)),"")</f>
        <v/>
      </c>
      <c r="M105" s="12">
        <f>IF(OR($K105="",$L105=""),"",($K105+100*$F105)-($L105+100*$G105))</f>
        <v/>
      </c>
      <c r="N105" s="13">
        <f>IF($M105="","",1/(1+10^(-$M105/400)))</f>
        <v/>
      </c>
      <c r="O105" s="7">
        <f>IF(OR($H105=0,$N105=""),"",IF($I105&gt;$J105,1,IF($I105=$J105,0.5,0)))</f>
        <v/>
      </c>
      <c r="P105" s="14">
        <f>IF($O105="","",IF(ABS($I105-$J105)&lt;=1,1,IF(ABS($I105-$J105)=2,1.5,IF(ABS($I105-$J105)=3,1.75,1.75+(ABS($I105-$J105)-3)/8))))</f>
        <v/>
      </c>
      <c r="Q105" s="14">
        <f>IF($O105="",0,Equipos!$O$4*$P105*($O105-$N105))</f>
        <v/>
      </c>
      <c r="R105" s="12">
        <f>IF($K105="","",$K105+$Q105)</f>
        <v/>
      </c>
      <c r="S105" s="12">
        <f>IF($L105="","",$L105-$Q105)</f>
        <v/>
      </c>
      <c r="T105" s="14">
        <f>IF($M105="","",Equipos!$O$3*$M105)</f>
        <v/>
      </c>
      <c r="U105" s="14">
        <f>IFERROR(VLOOKUP($D105,Equipos!$A:$H,6,0),"")</f>
        <v/>
      </c>
      <c r="V105" s="14">
        <f>IFERROR(VLOOKUP($D105,Equipos!$A:$H,7,0),"")</f>
        <v/>
      </c>
      <c r="W105" s="14">
        <f>IFERROR(VLOOKUP($E105,Equipos!$A:$H,6,0),"")</f>
        <v/>
      </c>
      <c r="X105" s="14">
        <f>IFERROR(VLOOKUP($E105,Equipos!$A:$H,7,0),"")</f>
        <v/>
      </c>
      <c r="Y105" s="14">
        <f>IF(OR($U105="",$W105=""),"",MIN(3.6,MAX(1.8,Equipos!$O$2*SQRT($U105*$W105*$V105*$X105))))</f>
        <v/>
      </c>
      <c r="Z105" s="14">
        <f>IF(OR($Y105="",$T105=""),"",MAX(0.2,($Y105+$T105)/2))</f>
        <v/>
      </c>
      <c r="AA105" s="14">
        <f>IF(OR($Y105="",$T105=""),"",MAX(0.2,($Y105-$T105)/2))</f>
        <v/>
      </c>
      <c r="AE105" s="15">
        <f>IF($D105=AE$1,$R105,IF($E105=AE$1,$S105,AE104))</f>
        <v/>
      </c>
      <c r="AF105" s="15">
        <f>IF($D105=AF$1,$R105,IF($E105=AF$1,$S105,AF104))</f>
        <v/>
      </c>
      <c r="AG105" s="15">
        <f>IF($D105=AG$1,$R105,IF($E105=AG$1,$S105,AG104))</f>
        <v/>
      </c>
      <c r="AH105" s="15">
        <f>IF($D105=AH$1,$R105,IF($E105=AH$1,$S105,AH104))</f>
        <v/>
      </c>
      <c r="AI105" s="15">
        <f>IF($D105=AI$1,$R105,IF($E105=AI$1,$S105,AI104))</f>
        <v/>
      </c>
      <c r="AJ105" s="15">
        <f>IF($D105=AJ$1,$R105,IF($E105=AJ$1,$S105,AJ104))</f>
        <v/>
      </c>
      <c r="AK105" s="15">
        <f>IF($D105=AK$1,$R105,IF($E105=AK$1,$S105,AK104))</f>
        <v/>
      </c>
      <c r="AL105" s="15">
        <f>IF($D105=AL$1,$R105,IF($E105=AL$1,$S105,AL104))</f>
        <v/>
      </c>
      <c r="AM105" s="15">
        <f>IF($D105=AM$1,$R105,IF($E105=AM$1,$S105,AM104))</f>
        <v/>
      </c>
      <c r="AN105" s="15">
        <f>IF($D105=AN$1,$R105,IF($E105=AN$1,$S105,AN104))</f>
        <v/>
      </c>
      <c r="AO105" s="15">
        <f>IF($D105=AO$1,$R105,IF($E105=AO$1,$S105,AO104))</f>
        <v/>
      </c>
      <c r="AP105" s="15">
        <f>IF($D105=AP$1,$R105,IF($E105=AP$1,$S105,AP104))</f>
        <v/>
      </c>
      <c r="AQ105" s="15">
        <f>IF($D105=AQ$1,$R105,IF($E105=AQ$1,$S105,AQ104))</f>
        <v/>
      </c>
      <c r="AR105" s="15">
        <f>IF($D105=AR$1,$R105,IF($E105=AR$1,$S105,AR104))</f>
        <v/>
      </c>
      <c r="AS105" s="15">
        <f>IF($D105=AS$1,$R105,IF($E105=AS$1,$S105,AS104))</f>
        <v/>
      </c>
      <c r="AT105" s="15">
        <f>IF($D105=AT$1,$R105,IF($E105=AT$1,$S105,AT104))</f>
        <v/>
      </c>
      <c r="AU105" s="15">
        <f>IF($D105=AU$1,$R105,IF($E105=AU$1,$S105,AU104))</f>
        <v/>
      </c>
      <c r="AV105" s="15">
        <f>IF($D105=AV$1,$R105,IF($E105=AV$1,$S105,AV104))</f>
        <v/>
      </c>
      <c r="AW105" s="15">
        <f>IF($D105=AW$1,$R105,IF($E105=AW$1,$S105,AW104))</f>
        <v/>
      </c>
      <c r="AX105" s="15">
        <f>IF($D105=AX$1,$R105,IF($E105=AX$1,$S105,AX104))</f>
        <v/>
      </c>
      <c r="AY105" s="15">
        <f>IF($D105=AY$1,$R105,IF($E105=AY$1,$S105,AY104))</f>
        <v/>
      </c>
      <c r="AZ105" s="15">
        <f>IF($D105=AZ$1,$R105,IF($E105=AZ$1,$S105,AZ104))</f>
        <v/>
      </c>
      <c r="BA105" s="15">
        <f>IF($D105=BA$1,$R105,IF($E105=BA$1,$S105,BA104))</f>
        <v/>
      </c>
      <c r="BB105" s="15">
        <f>IF($D105=BB$1,$R105,IF($E105=BB$1,$S105,BB104))</f>
        <v/>
      </c>
      <c r="BC105" s="15">
        <f>IF($D105=BC$1,$R105,IF($E105=BC$1,$S105,BC104))</f>
        <v/>
      </c>
      <c r="BD105" s="15">
        <f>IF($D105=BD$1,$R105,IF($E105=BD$1,$S105,BD104))</f>
        <v/>
      </c>
      <c r="BE105" s="15">
        <f>IF($D105=BE$1,$R105,IF($E105=BE$1,$S105,BE104))</f>
        <v/>
      </c>
      <c r="BF105" s="15">
        <f>IF($D105=BF$1,$R105,IF($E105=BF$1,$S105,BF104))</f>
        <v/>
      </c>
      <c r="BG105" s="15">
        <f>IF($D105=BG$1,$R105,IF($E105=BG$1,$S105,BG104))</f>
        <v/>
      </c>
      <c r="BH105" s="15">
        <f>IF($D105=BH$1,$R105,IF($E105=BH$1,$S105,BH104))</f>
        <v/>
      </c>
      <c r="BI105" s="15">
        <f>IF($D105=BI$1,$R105,IF($E105=BI$1,$S105,BI104))</f>
        <v/>
      </c>
      <c r="BJ105" s="15">
        <f>IF($D105=BJ$1,$R105,IF($E105=BJ$1,$S105,BJ104))</f>
        <v/>
      </c>
      <c r="BK105" s="15">
        <f>IF($D105=BK$1,$R105,IF($E105=BK$1,$S105,BK104))</f>
        <v/>
      </c>
      <c r="BL105" s="15">
        <f>IF($D105=BL$1,$R105,IF($E105=BL$1,$S105,BL104))</f>
        <v/>
      </c>
      <c r="BM105" s="15">
        <f>IF($D105=BM$1,$R105,IF($E105=BM$1,$S105,BM104))</f>
        <v/>
      </c>
      <c r="BN105" s="15">
        <f>IF($D105=BN$1,$R105,IF($E105=BN$1,$S105,BN104))</f>
        <v/>
      </c>
      <c r="BO105" s="15">
        <f>IF($D105=BO$1,$R105,IF($E105=BO$1,$S105,BO104))</f>
        <v/>
      </c>
      <c r="BP105" s="15">
        <f>IF($D105=BP$1,$R105,IF($E105=BP$1,$S105,BP104))</f>
        <v/>
      </c>
      <c r="BQ105" s="15">
        <f>IF($D105=BQ$1,$R105,IF($E105=BQ$1,$S105,BQ104))</f>
        <v/>
      </c>
      <c r="BR105" s="15">
        <f>IF($D105=BR$1,$R105,IF($E105=BR$1,$S105,BR104))</f>
        <v/>
      </c>
      <c r="BS105" s="15">
        <f>IF($D105=BS$1,$R105,IF($E105=BS$1,$S105,BS104))</f>
        <v/>
      </c>
      <c r="BT105" s="15">
        <f>IF($D105=BT$1,$R105,IF($E105=BT$1,$S105,BT104))</f>
        <v/>
      </c>
      <c r="BU105" s="15">
        <f>IF($D105=BU$1,$R105,IF($E105=BU$1,$S105,BU104))</f>
        <v/>
      </c>
      <c r="BV105" s="15">
        <f>IF($D105=BV$1,$R105,IF($E105=BV$1,$S105,BV104))</f>
        <v/>
      </c>
      <c r="BW105" s="15">
        <f>IF($D105=BW$1,$R105,IF($E105=BW$1,$S105,BW104))</f>
        <v/>
      </c>
      <c r="BX105" s="15">
        <f>IF($D105=BX$1,$R105,IF($E105=BX$1,$S105,BX104))</f>
        <v/>
      </c>
      <c r="BY105" s="15">
        <f>IF($D105=BY$1,$R105,IF($E105=BY$1,$S105,BY104))</f>
        <v/>
      </c>
      <c r="BZ105" s="15">
        <f>IF($D105=BZ$1,$R105,IF($E105=BZ$1,$S105,BZ104))</f>
        <v/>
      </c>
    </row>
    <row r="106" ht="15" customHeight="1">
      <c r="A106" s="7">
        <f>Fixture!A105</f>
        <v/>
      </c>
      <c r="B106" s="7">
        <f>Fixture!B105</f>
        <v/>
      </c>
      <c r="C106" s="7">
        <f>Fixture!C105</f>
        <v/>
      </c>
      <c r="D106" s="7">
        <f>Fixture!E105</f>
        <v/>
      </c>
      <c r="E106" s="7">
        <f>Fixture!F105</f>
        <v/>
      </c>
      <c r="F106" s="7">
        <f>Fixture!J105</f>
        <v/>
      </c>
      <c r="G106" s="7">
        <f>Fixture!K105</f>
        <v/>
      </c>
      <c r="H106" s="7">
        <f>IF(ISNUMBER(Resultados!B105),1,0)</f>
        <v/>
      </c>
      <c r="I106" s="7">
        <f>IF($H106=1,Resultados!B105,0)</f>
        <v/>
      </c>
      <c r="J106" s="7">
        <f>IF($H106=1,Resultados!C105,0)</f>
        <v/>
      </c>
      <c r="K106" s="12">
        <f>IFERROR(INDEX($AE105:$BZ105,MATCH($D106,$AE$1:$BZ$1,0)),"")</f>
        <v/>
      </c>
      <c r="L106" s="12">
        <f>IFERROR(INDEX($AE105:$BZ105,MATCH($E106,$AE$1:$BZ$1,0)),"")</f>
        <v/>
      </c>
      <c r="M106" s="12">
        <f>IF(OR($K106="",$L106=""),"",($K106+100*$F106)-($L106+100*$G106))</f>
        <v/>
      </c>
      <c r="N106" s="13">
        <f>IF($M106="","",1/(1+10^(-$M106/400)))</f>
        <v/>
      </c>
      <c r="O106" s="7">
        <f>IF(OR($H106=0,$N106=""),"",IF($I106&gt;$J106,1,IF($I106=$J106,0.5,0)))</f>
        <v/>
      </c>
      <c r="P106" s="14">
        <f>IF($O106="","",IF(ABS($I106-$J106)&lt;=1,1,IF(ABS($I106-$J106)=2,1.5,IF(ABS($I106-$J106)=3,1.75,1.75+(ABS($I106-$J106)-3)/8))))</f>
        <v/>
      </c>
      <c r="Q106" s="14">
        <f>IF($O106="",0,Equipos!$O$4*$P106*($O106-$N106))</f>
        <v/>
      </c>
      <c r="R106" s="12">
        <f>IF($K106="","",$K106+$Q106)</f>
        <v/>
      </c>
      <c r="S106" s="12">
        <f>IF($L106="","",$L106-$Q106)</f>
        <v/>
      </c>
      <c r="T106" s="14">
        <f>IF($M106="","",Equipos!$O$3*$M106)</f>
        <v/>
      </c>
      <c r="U106" s="14">
        <f>IFERROR(VLOOKUP($D106,Equipos!$A:$H,6,0),"")</f>
        <v/>
      </c>
      <c r="V106" s="14">
        <f>IFERROR(VLOOKUP($D106,Equipos!$A:$H,7,0),"")</f>
        <v/>
      </c>
      <c r="W106" s="14">
        <f>IFERROR(VLOOKUP($E106,Equipos!$A:$H,6,0),"")</f>
        <v/>
      </c>
      <c r="X106" s="14">
        <f>IFERROR(VLOOKUP($E106,Equipos!$A:$H,7,0),"")</f>
        <v/>
      </c>
      <c r="Y106" s="14">
        <f>IF(OR($U106="",$W106=""),"",MIN(3.6,MAX(1.8,Equipos!$O$2*SQRT($U106*$W106*$V106*$X106))))</f>
        <v/>
      </c>
      <c r="Z106" s="14">
        <f>IF(OR($Y106="",$T106=""),"",MAX(0.2,($Y106+$T106)/2))</f>
        <v/>
      </c>
      <c r="AA106" s="14">
        <f>IF(OR($Y106="",$T106=""),"",MAX(0.2,($Y106-$T106)/2))</f>
        <v/>
      </c>
      <c r="AE106" s="15">
        <f>IF($D106=AE$1,$R106,IF($E106=AE$1,$S106,AE105))</f>
        <v/>
      </c>
      <c r="AF106" s="15">
        <f>IF($D106=AF$1,$R106,IF($E106=AF$1,$S106,AF105))</f>
        <v/>
      </c>
      <c r="AG106" s="15">
        <f>IF($D106=AG$1,$R106,IF($E106=AG$1,$S106,AG105))</f>
        <v/>
      </c>
      <c r="AH106" s="15">
        <f>IF($D106=AH$1,$R106,IF($E106=AH$1,$S106,AH105))</f>
        <v/>
      </c>
      <c r="AI106" s="15">
        <f>IF($D106=AI$1,$R106,IF($E106=AI$1,$S106,AI105))</f>
        <v/>
      </c>
      <c r="AJ106" s="15">
        <f>IF($D106=AJ$1,$R106,IF($E106=AJ$1,$S106,AJ105))</f>
        <v/>
      </c>
      <c r="AK106" s="15">
        <f>IF($D106=AK$1,$R106,IF($E106=AK$1,$S106,AK105))</f>
        <v/>
      </c>
      <c r="AL106" s="15">
        <f>IF($D106=AL$1,$R106,IF($E106=AL$1,$S106,AL105))</f>
        <v/>
      </c>
      <c r="AM106" s="15">
        <f>IF($D106=AM$1,$R106,IF($E106=AM$1,$S106,AM105))</f>
        <v/>
      </c>
      <c r="AN106" s="15">
        <f>IF($D106=AN$1,$R106,IF($E106=AN$1,$S106,AN105))</f>
        <v/>
      </c>
      <c r="AO106" s="15">
        <f>IF($D106=AO$1,$R106,IF($E106=AO$1,$S106,AO105))</f>
        <v/>
      </c>
      <c r="AP106" s="15">
        <f>IF($D106=AP$1,$R106,IF($E106=AP$1,$S106,AP105))</f>
        <v/>
      </c>
      <c r="AQ106" s="15">
        <f>IF($D106=AQ$1,$R106,IF($E106=AQ$1,$S106,AQ105))</f>
        <v/>
      </c>
      <c r="AR106" s="15">
        <f>IF($D106=AR$1,$R106,IF($E106=AR$1,$S106,AR105))</f>
        <v/>
      </c>
      <c r="AS106" s="15">
        <f>IF($D106=AS$1,$R106,IF($E106=AS$1,$S106,AS105))</f>
        <v/>
      </c>
      <c r="AT106" s="15">
        <f>IF($D106=AT$1,$R106,IF($E106=AT$1,$S106,AT105))</f>
        <v/>
      </c>
      <c r="AU106" s="15">
        <f>IF($D106=AU$1,$R106,IF($E106=AU$1,$S106,AU105))</f>
        <v/>
      </c>
      <c r="AV106" s="15">
        <f>IF($D106=AV$1,$R106,IF($E106=AV$1,$S106,AV105))</f>
        <v/>
      </c>
      <c r="AW106" s="15">
        <f>IF($D106=AW$1,$R106,IF($E106=AW$1,$S106,AW105))</f>
        <v/>
      </c>
      <c r="AX106" s="15">
        <f>IF($D106=AX$1,$R106,IF($E106=AX$1,$S106,AX105))</f>
        <v/>
      </c>
      <c r="AY106" s="15">
        <f>IF($D106=AY$1,$R106,IF($E106=AY$1,$S106,AY105))</f>
        <v/>
      </c>
      <c r="AZ106" s="15">
        <f>IF($D106=AZ$1,$R106,IF($E106=AZ$1,$S106,AZ105))</f>
        <v/>
      </c>
      <c r="BA106" s="15">
        <f>IF($D106=BA$1,$R106,IF($E106=BA$1,$S106,BA105))</f>
        <v/>
      </c>
      <c r="BB106" s="15">
        <f>IF($D106=BB$1,$R106,IF($E106=BB$1,$S106,BB105))</f>
        <v/>
      </c>
      <c r="BC106" s="15">
        <f>IF($D106=BC$1,$R106,IF($E106=BC$1,$S106,BC105))</f>
        <v/>
      </c>
      <c r="BD106" s="15">
        <f>IF($D106=BD$1,$R106,IF($E106=BD$1,$S106,BD105))</f>
        <v/>
      </c>
      <c r="BE106" s="15">
        <f>IF($D106=BE$1,$R106,IF($E106=BE$1,$S106,BE105))</f>
        <v/>
      </c>
      <c r="BF106" s="15">
        <f>IF($D106=BF$1,$R106,IF($E106=BF$1,$S106,BF105))</f>
        <v/>
      </c>
      <c r="BG106" s="15">
        <f>IF($D106=BG$1,$R106,IF($E106=BG$1,$S106,BG105))</f>
        <v/>
      </c>
      <c r="BH106" s="15">
        <f>IF($D106=BH$1,$R106,IF($E106=BH$1,$S106,BH105))</f>
        <v/>
      </c>
      <c r="BI106" s="15">
        <f>IF($D106=BI$1,$R106,IF($E106=BI$1,$S106,BI105))</f>
        <v/>
      </c>
      <c r="BJ106" s="15">
        <f>IF($D106=BJ$1,$R106,IF($E106=BJ$1,$S106,BJ105))</f>
        <v/>
      </c>
      <c r="BK106" s="15">
        <f>IF($D106=BK$1,$R106,IF($E106=BK$1,$S106,BK105))</f>
        <v/>
      </c>
      <c r="BL106" s="15">
        <f>IF($D106=BL$1,$R106,IF($E106=BL$1,$S106,BL105))</f>
        <v/>
      </c>
      <c r="BM106" s="15">
        <f>IF($D106=BM$1,$R106,IF($E106=BM$1,$S106,BM105))</f>
        <v/>
      </c>
      <c r="BN106" s="15">
        <f>IF($D106=BN$1,$R106,IF($E106=BN$1,$S106,BN105))</f>
        <v/>
      </c>
      <c r="BO106" s="15">
        <f>IF($D106=BO$1,$R106,IF($E106=BO$1,$S106,BO105))</f>
        <v/>
      </c>
      <c r="BP106" s="15">
        <f>IF($D106=BP$1,$R106,IF($E106=BP$1,$S106,BP105))</f>
        <v/>
      </c>
      <c r="BQ106" s="15">
        <f>IF($D106=BQ$1,$R106,IF($E106=BQ$1,$S106,BQ105))</f>
        <v/>
      </c>
      <c r="BR106" s="15">
        <f>IF($D106=BR$1,$R106,IF($E106=BR$1,$S106,BR105))</f>
        <v/>
      </c>
      <c r="BS106" s="15">
        <f>IF($D106=BS$1,$R106,IF($E106=BS$1,$S106,BS105))</f>
        <v/>
      </c>
      <c r="BT106" s="15">
        <f>IF($D106=BT$1,$R106,IF($E106=BT$1,$S106,BT105))</f>
        <v/>
      </c>
      <c r="BU106" s="15">
        <f>IF($D106=BU$1,$R106,IF($E106=BU$1,$S106,BU105))</f>
        <v/>
      </c>
      <c r="BV106" s="15">
        <f>IF($D106=BV$1,$R106,IF($E106=BV$1,$S106,BV105))</f>
        <v/>
      </c>
      <c r="BW106" s="15">
        <f>IF($D106=BW$1,$R106,IF($E106=BW$1,$S106,BW105))</f>
        <v/>
      </c>
      <c r="BX106" s="15">
        <f>IF($D106=BX$1,$R106,IF($E106=BX$1,$S106,BX105))</f>
        <v/>
      </c>
      <c r="BY106" s="15">
        <f>IF($D106=BY$1,$R106,IF($E106=BY$1,$S106,BY105))</f>
        <v/>
      </c>
      <c r="BZ106" s="15">
        <f>IF($D106=BZ$1,$R106,IF($E106=BZ$1,$S106,BZ105))</f>
        <v/>
      </c>
    </row>
    <row r="108" ht="15" customHeight="1">
      <c r="A108" s="4" t="inlineStr">
        <is>
          <t>Solo lectura conceptual: nadie edita aquí. Grid AE:BZ = Elo encadenado (fila 2 = inicial; fila r = Elo tras el partido de la fila r). Elo pre-partido = fila anterior del grid.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ED7D31"/>
    <outlinePr summaryBelow="1" summaryRight="1"/>
    <pageSetUpPr/>
  </sheetPr>
  <dimension ref="A1:M106"/>
  <sheetViews>
    <sheetView zoomScaleNormal="100" workbookViewId="0">
      <pane ySplit="2" topLeftCell="A3" activePane="bottomLeft" state="frozen"/>
      <selection pane="bottomLeft" activeCell="A7" sqref="A7:XFD7"/>
    </sheetView>
  </sheetViews>
  <sheetFormatPr baseColWidth="10" defaultColWidth="8.6640625" defaultRowHeight="14.25"/>
  <cols>
    <col width="6" customWidth="1" min="1" max="1"/>
    <col width="11" customWidth="1" min="2" max="2"/>
    <col width="9" customWidth="1" min="3" max="3"/>
    <col width="18" customWidth="1" min="4" max="5"/>
    <col width="11" customWidth="1" min="6" max="8"/>
    <col width="12" customWidth="1" min="9" max="9"/>
    <col width="11" customWidth="1" min="10" max="10"/>
    <col width="10" customWidth="1" min="11" max="13"/>
  </cols>
  <sheetData>
    <row r="1" ht="15" customHeight="1">
      <c r="A1" s="4" t="inlineStr">
        <is>
          <t>NOTA: probabilidades de un modelo Elo+Poisson calibrado con datos históricos; no incorpora lesiones, alineaciones ni clima, y en fútbol el favorito pierde con frecuencia. P(1X2) normalizadas sobre marcadores 0–5 (residuo &gt;5 repartido proporcionalmente). Marcador más probable = moda de las Poisson.</t>
        </is>
      </c>
    </row>
    <row r="2" ht="15" customHeight="1">
      <c r="A2" s="1" t="inlineStr">
        <is>
          <t>ID</t>
        </is>
      </c>
      <c r="B2" s="1" t="inlineStr">
        <is>
          <t>Fecha</t>
        </is>
      </c>
      <c r="C2" s="1" t="inlineStr">
        <is>
          <t>Fase</t>
        </is>
      </c>
      <c r="D2" s="1" t="inlineStr">
        <is>
          <t>Equipo_A</t>
        </is>
      </c>
      <c r="E2" s="1" t="inlineStr">
        <is>
          <t>Equipo_B</t>
        </is>
      </c>
      <c r="F2" s="1" t="inlineStr">
        <is>
          <t>P(Gana A)</t>
        </is>
      </c>
      <c r="G2" s="1" t="inlineStr">
        <is>
          <t>P(Empate)</t>
        </is>
      </c>
      <c r="H2" s="1" t="inlineStr">
        <is>
          <t>P(Gana B)</t>
        </is>
      </c>
      <c r="I2" s="1" t="inlineStr">
        <is>
          <t>Marcador_Mas_Probable</t>
        </is>
      </c>
      <c r="J2" s="1" t="inlineStr">
        <is>
          <t>P(Marcador)</t>
        </is>
      </c>
      <c r="K2" s="1" t="inlineStr">
        <is>
          <t>raw_pA (aux)</t>
        </is>
      </c>
      <c r="L2" s="1" t="inlineStr">
        <is>
          <t>raw_pE (aux)</t>
        </is>
      </c>
      <c r="M2" s="1" t="inlineStr">
        <is>
          <t>raw_pB (aux)</t>
        </is>
      </c>
    </row>
    <row r="3" ht="15" customHeight="1">
      <c r="A3" s="7">
        <f>Modelo!A3</f>
        <v/>
      </c>
      <c r="B3" s="7">
        <f>Modelo!B3</f>
        <v/>
      </c>
      <c r="C3" s="7">
        <f>Modelo!C3</f>
        <v/>
      </c>
      <c r="D3" s="7">
        <f>Modelo!D3</f>
        <v/>
      </c>
      <c r="E3" s="7">
        <f>Modelo!E3</f>
        <v/>
      </c>
      <c r="F3" s="13">
        <f>IF($K3="","",$K3/($K3+$L3+$M3))</f>
        <v/>
      </c>
      <c r="G3" s="13">
        <f>IF($K3="","",$L3/($K3+$L3+$M3))</f>
        <v/>
      </c>
      <c r="H3" s="13">
        <f>IF($K3="","",$M3/($K3+$L3+$M3))</f>
        <v/>
      </c>
      <c r="I3" s="7">
        <f>IF($K3="","",INT(Modelo!$Z3)&amp;"-"&amp;INT(Modelo!$AA3))</f>
        <v/>
      </c>
      <c r="J3" s="13">
        <f>IF($K3="","",POISSON(INT(Modelo!$Z3),Modelo!$Z3,0)*POISSON(INT(Modelo!$AA3),Modelo!$AA3,0))</f>
        <v/>
      </c>
      <c r="K3" s="13">
        <f>IF(OR(Modelo!$H3=1,Modelo!$Z3=""),"",SUMPRODUCT(POISSON({1,2,3,4,5},Modelo!$Z3,0),POISSON({0,1,2,3,4},Modelo!$AA3,1)))</f>
        <v/>
      </c>
      <c r="L3" s="13">
        <f>IF(OR(Modelo!$H3=1,Modelo!$Z3=""),"",SUMPRODUCT(POISSON({0,1,2,3,4,5},Modelo!$Z3,0),POISSON({0,1,2,3,4,5},Modelo!$AA3,0)))</f>
        <v/>
      </c>
      <c r="M3" s="13">
        <f>IF(OR(Modelo!$H3=1,Modelo!$Z3=""),"",SUMPRODUCT(POISSON({1,2,3,4,5},Modelo!$AA3,0),POISSON({0,1,2,3,4},Modelo!$Z3,1)))</f>
        <v/>
      </c>
    </row>
    <row r="4" ht="15" customHeight="1">
      <c r="A4" s="7">
        <f>Modelo!A4</f>
        <v/>
      </c>
      <c r="B4" s="7">
        <f>Modelo!B4</f>
        <v/>
      </c>
      <c r="C4" s="7">
        <f>Modelo!C4</f>
        <v/>
      </c>
      <c r="D4" s="7">
        <f>Modelo!D4</f>
        <v/>
      </c>
      <c r="E4" s="7">
        <f>Modelo!E4</f>
        <v/>
      </c>
      <c r="F4" s="13">
        <f>IF($K4="","",$K4/($K4+$L4+$M4))</f>
        <v/>
      </c>
      <c r="G4" s="13">
        <f>IF($K4="","",$L4/($K4+$L4+$M4))</f>
        <v/>
      </c>
      <c r="H4" s="13">
        <f>IF($K4="","",$M4/($K4+$L4+$M4))</f>
        <v/>
      </c>
      <c r="I4" s="7">
        <f>IF($K4="","",INT(Modelo!$Z4)&amp;"-"&amp;INT(Modelo!$AA4))</f>
        <v/>
      </c>
      <c r="J4" s="13">
        <f>IF($K4="","",POISSON(INT(Modelo!$Z4),Modelo!$Z4,0)*POISSON(INT(Modelo!$AA4),Modelo!$AA4,0))</f>
        <v/>
      </c>
      <c r="K4" s="13">
        <f>IF(OR(Modelo!$H4=1,Modelo!$Z4=""),"",SUMPRODUCT(POISSON({1,2,3,4,5},Modelo!$Z4,0),POISSON({0,1,2,3,4},Modelo!$AA4,1)))</f>
        <v/>
      </c>
      <c r="L4" s="13">
        <f>IF(OR(Modelo!$H4=1,Modelo!$Z4=""),"",SUMPRODUCT(POISSON({0,1,2,3,4,5},Modelo!$Z4,0),POISSON({0,1,2,3,4,5},Modelo!$AA4,0)))</f>
        <v/>
      </c>
      <c r="M4" s="13">
        <f>IF(OR(Modelo!$H4=1,Modelo!$Z4=""),"",SUMPRODUCT(POISSON({1,2,3,4,5},Modelo!$AA4,0),POISSON({0,1,2,3,4},Modelo!$Z4,1)))</f>
        <v/>
      </c>
    </row>
    <row r="5" ht="15" customHeight="1">
      <c r="A5" s="7">
        <f>Modelo!A5</f>
        <v/>
      </c>
      <c r="B5" s="7">
        <f>Modelo!B5</f>
        <v/>
      </c>
      <c r="C5" s="7">
        <f>Modelo!C5</f>
        <v/>
      </c>
      <c r="D5" s="7">
        <f>Modelo!D5</f>
        <v/>
      </c>
      <c r="E5" s="7">
        <f>Modelo!E5</f>
        <v/>
      </c>
      <c r="F5" s="13">
        <f>IF($K5="","",$K5/($K5+$L5+$M5))</f>
        <v/>
      </c>
      <c r="G5" s="13">
        <f>IF($K5="","",$L5/($K5+$L5+$M5))</f>
        <v/>
      </c>
      <c r="H5" s="13">
        <f>IF($K5="","",$M5/($K5+$L5+$M5))</f>
        <v/>
      </c>
      <c r="I5" s="7">
        <f>IF($K5="","",INT(Modelo!$Z5)&amp;"-"&amp;INT(Modelo!$AA5))</f>
        <v/>
      </c>
      <c r="J5" s="13">
        <f>IF($K5="","",POISSON(INT(Modelo!$Z5),Modelo!$Z5,0)*POISSON(INT(Modelo!$AA5),Modelo!$AA5,0))</f>
        <v/>
      </c>
      <c r="K5" s="13">
        <f>IF(OR(Modelo!$H5=1,Modelo!$Z5=""),"",SUMPRODUCT(POISSON({1,2,3,4,5},Modelo!$Z5,0),POISSON({0,1,2,3,4},Modelo!$AA5,1)))</f>
        <v/>
      </c>
      <c r="L5" s="13">
        <f>IF(OR(Modelo!$H5=1,Modelo!$Z5=""),"",SUMPRODUCT(POISSON({0,1,2,3,4,5},Modelo!$Z5,0),POISSON({0,1,2,3,4,5},Modelo!$AA5,0)))</f>
        <v/>
      </c>
      <c r="M5" s="13">
        <f>IF(OR(Modelo!$H5=1,Modelo!$Z5=""),"",SUMPRODUCT(POISSON({1,2,3,4,5},Modelo!$AA5,0),POISSON({0,1,2,3,4},Modelo!$Z5,1)))</f>
        <v/>
      </c>
    </row>
    <row r="6" ht="15" customHeight="1">
      <c r="A6" s="7">
        <f>Modelo!A6</f>
        <v/>
      </c>
      <c r="B6" s="7">
        <f>Modelo!B6</f>
        <v/>
      </c>
      <c r="C6" s="7">
        <f>Modelo!C6</f>
        <v/>
      </c>
      <c r="D6" s="7">
        <f>Modelo!D6</f>
        <v/>
      </c>
      <c r="E6" s="7">
        <f>Modelo!E6</f>
        <v/>
      </c>
      <c r="F6" s="13">
        <f>IF($K6="","",$K6/($K6+$L6+$M6))</f>
        <v/>
      </c>
      <c r="G6" s="13">
        <f>IF($K6="","",$L6/($K6+$L6+$M6))</f>
        <v/>
      </c>
      <c r="H6" s="13">
        <f>IF($K6="","",$M6/($K6+$L6+$M6))</f>
        <v/>
      </c>
      <c r="I6" s="7">
        <f>IF($K6="","",INT(Modelo!$Z6)&amp;"-"&amp;INT(Modelo!$AA6))</f>
        <v/>
      </c>
      <c r="J6" s="13">
        <f>IF($K6="","",POISSON(INT(Modelo!$Z6),Modelo!$Z6,0)*POISSON(INT(Modelo!$AA6),Modelo!$AA6,0))</f>
        <v/>
      </c>
      <c r="K6" s="13">
        <f>IF(OR(Modelo!$H6=1,Modelo!$Z6=""),"",SUMPRODUCT(POISSON({1,2,3,4,5},Modelo!$Z6,0),POISSON({0,1,2,3,4},Modelo!$AA6,1)))</f>
        <v/>
      </c>
      <c r="L6" s="13">
        <f>IF(OR(Modelo!$H6=1,Modelo!$Z6=""),"",SUMPRODUCT(POISSON({0,1,2,3,4,5},Modelo!$Z6,0),POISSON({0,1,2,3,4,5},Modelo!$AA6,0)))</f>
        <v/>
      </c>
      <c r="M6" s="13">
        <f>IF(OR(Modelo!$H6=1,Modelo!$Z6=""),"",SUMPRODUCT(POISSON({1,2,3,4,5},Modelo!$AA6,0),POISSON({0,1,2,3,4},Modelo!$Z6,1)))</f>
        <v/>
      </c>
    </row>
    <row r="7" ht="15" customHeight="1">
      <c r="A7" s="7">
        <f>Modelo!A7</f>
        <v/>
      </c>
      <c r="B7" s="7">
        <f>Modelo!B7</f>
        <v/>
      </c>
      <c r="C7" s="7">
        <f>Modelo!C7</f>
        <v/>
      </c>
      <c r="D7" s="7">
        <f>Modelo!D7</f>
        <v/>
      </c>
      <c r="E7" s="7">
        <f>Modelo!E7</f>
        <v/>
      </c>
      <c r="F7" s="13">
        <f>IF($K7="","",$K7/($K7+$L7+$M7))</f>
        <v/>
      </c>
      <c r="G7" s="13">
        <f>IF($K7="","",$L7/($K7+$L7+$M7))</f>
        <v/>
      </c>
      <c r="H7" s="13">
        <f>IF($K7="","",$M7/($K7+$L7+$M7))</f>
        <v/>
      </c>
      <c r="I7" s="7">
        <f>IF($K7="","",INT(Modelo!$Z7)&amp;"-"&amp;INT(Modelo!$AA7))</f>
        <v/>
      </c>
      <c r="J7" s="13">
        <f>IF($K7="","",POISSON(INT(Modelo!$Z7),Modelo!$Z7,0)*POISSON(INT(Modelo!$AA7),Modelo!$AA7,0))</f>
        <v/>
      </c>
      <c r="K7" s="13">
        <f>IF(OR(Modelo!$H7=1,Modelo!$Z7=""),"",SUMPRODUCT(POISSON({1,2,3,4,5},Modelo!$Z7,0),POISSON({0,1,2,3,4},Modelo!$AA7,1)))</f>
        <v/>
      </c>
      <c r="L7" s="13">
        <f>IF(OR(Modelo!$H7=1,Modelo!$Z7=""),"",SUMPRODUCT(POISSON({0,1,2,3,4,5},Modelo!$Z7,0),POISSON({0,1,2,3,4,5},Modelo!$AA7,0)))</f>
        <v/>
      </c>
      <c r="M7" s="13">
        <f>IF(OR(Modelo!$H7=1,Modelo!$Z7=""),"",SUMPRODUCT(POISSON({1,2,3,4,5},Modelo!$AA7,0),POISSON({0,1,2,3,4},Modelo!$Z7,1)))</f>
        <v/>
      </c>
    </row>
    <row r="8" ht="15" customHeight="1">
      <c r="A8" s="7">
        <f>Modelo!A8</f>
        <v/>
      </c>
      <c r="B8" s="7">
        <f>Modelo!B8</f>
        <v/>
      </c>
      <c r="C8" s="7">
        <f>Modelo!C8</f>
        <v/>
      </c>
      <c r="D8" s="7">
        <f>Modelo!D8</f>
        <v/>
      </c>
      <c r="E8" s="7">
        <f>Modelo!E8</f>
        <v/>
      </c>
      <c r="F8" s="13">
        <f>IF($K8="","",$K8/($K8+$L8+$M8))</f>
        <v/>
      </c>
      <c r="G8" s="13">
        <f>IF($K8="","",$L8/($K8+$L8+$M8))</f>
        <v/>
      </c>
      <c r="H8" s="13">
        <f>IF($K8="","",$M8/($K8+$L8+$M8))</f>
        <v/>
      </c>
      <c r="I8" s="7">
        <f>IF($K8="","",INT(Modelo!$Z8)&amp;"-"&amp;INT(Modelo!$AA8))</f>
        <v/>
      </c>
      <c r="J8" s="13">
        <f>IF($K8="","",POISSON(INT(Modelo!$Z8),Modelo!$Z8,0)*POISSON(INT(Modelo!$AA8),Modelo!$AA8,0))</f>
        <v/>
      </c>
      <c r="K8" s="13">
        <f>IF(OR(Modelo!$H8=1,Modelo!$Z8=""),"",SUMPRODUCT(POISSON({1,2,3,4,5},Modelo!$Z8,0),POISSON({0,1,2,3,4},Modelo!$AA8,1)))</f>
        <v/>
      </c>
      <c r="L8" s="13">
        <f>IF(OR(Modelo!$H8=1,Modelo!$Z8=""),"",SUMPRODUCT(POISSON({0,1,2,3,4,5},Modelo!$Z8,0),POISSON({0,1,2,3,4,5},Modelo!$AA8,0)))</f>
        <v/>
      </c>
      <c r="M8" s="13">
        <f>IF(OR(Modelo!$H8=1,Modelo!$Z8=""),"",SUMPRODUCT(POISSON({1,2,3,4,5},Modelo!$AA8,0),POISSON({0,1,2,3,4},Modelo!$Z8,1)))</f>
        <v/>
      </c>
    </row>
    <row r="9" ht="15" customHeight="1">
      <c r="A9" s="7">
        <f>Modelo!A9</f>
        <v/>
      </c>
      <c r="B9" s="7">
        <f>Modelo!B9</f>
        <v/>
      </c>
      <c r="C9" s="7">
        <f>Modelo!C9</f>
        <v/>
      </c>
      <c r="D9" s="7">
        <f>Modelo!D9</f>
        <v/>
      </c>
      <c r="E9" s="7">
        <f>Modelo!E9</f>
        <v/>
      </c>
      <c r="F9" s="13">
        <f>IF($K9="","",$K9/($K9+$L9+$M9))</f>
        <v/>
      </c>
      <c r="G9" s="13">
        <f>IF($K9="","",$L9/($K9+$L9+$M9))</f>
        <v/>
      </c>
      <c r="H9" s="13">
        <f>IF($K9="","",$M9/($K9+$L9+$M9))</f>
        <v/>
      </c>
      <c r="I9" s="7">
        <f>IF($K9="","",INT(Modelo!$Z9)&amp;"-"&amp;INT(Modelo!$AA9))</f>
        <v/>
      </c>
      <c r="J9" s="13">
        <f>IF($K9="","",POISSON(INT(Modelo!$Z9),Modelo!$Z9,0)*POISSON(INT(Modelo!$AA9),Modelo!$AA9,0))</f>
        <v/>
      </c>
      <c r="K9" s="13">
        <f>IF(OR(Modelo!$H9=1,Modelo!$Z9=""),"",SUMPRODUCT(POISSON({1,2,3,4,5},Modelo!$Z9,0),POISSON({0,1,2,3,4},Modelo!$AA9,1)))</f>
        <v/>
      </c>
      <c r="L9" s="13">
        <f>IF(OR(Modelo!$H9=1,Modelo!$Z9=""),"",SUMPRODUCT(POISSON({0,1,2,3,4,5},Modelo!$Z9,0),POISSON({0,1,2,3,4,5},Modelo!$AA9,0)))</f>
        <v/>
      </c>
      <c r="M9" s="13">
        <f>IF(OR(Modelo!$H9=1,Modelo!$Z9=""),"",SUMPRODUCT(POISSON({1,2,3,4,5},Modelo!$AA9,0),POISSON({0,1,2,3,4},Modelo!$Z9,1)))</f>
        <v/>
      </c>
    </row>
    <row r="10" ht="15" customHeight="1">
      <c r="A10" s="7">
        <f>Modelo!A10</f>
        <v/>
      </c>
      <c r="B10" s="7">
        <f>Modelo!B10</f>
        <v/>
      </c>
      <c r="C10" s="7">
        <f>Modelo!C10</f>
        <v/>
      </c>
      <c r="D10" s="7">
        <f>Modelo!D10</f>
        <v/>
      </c>
      <c r="E10" s="7">
        <f>Modelo!E10</f>
        <v/>
      </c>
      <c r="F10" s="13">
        <f>IF($K10="","",$K10/($K10+$L10+$M10))</f>
        <v/>
      </c>
      <c r="G10" s="13">
        <f>IF($K10="","",$L10/($K10+$L10+$M10))</f>
        <v/>
      </c>
      <c r="H10" s="13">
        <f>IF($K10="","",$M10/($K10+$L10+$M10))</f>
        <v/>
      </c>
      <c r="I10" s="7">
        <f>IF($K10="","",INT(Modelo!$Z10)&amp;"-"&amp;INT(Modelo!$AA10))</f>
        <v/>
      </c>
      <c r="J10" s="13">
        <f>IF($K10="","",POISSON(INT(Modelo!$Z10),Modelo!$Z10,0)*POISSON(INT(Modelo!$AA10),Modelo!$AA10,0))</f>
        <v/>
      </c>
      <c r="K10" s="13">
        <f>IF(OR(Modelo!$H10=1,Modelo!$Z10=""),"",SUMPRODUCT(POISSON({1,2,3,4,5},Modelo!$Z10,0),POISSON({0,1,2,3,4},Modelo!$AA10,1)))</f>
        <v/>
      </c>
      <c r="L10" s="13">
        <f>IF(OR(Modelo!$H10=1,Modelo!$Z10=""),"",SUMPRODUCT(POISSON({0,1,2,3,4,5},Modelo!$Z10,0),POISSON({0,1,2,3,4,5},Modelo!$AA10,0)))</f>
        <v/>
      </c>
      <c r="M10" s="13">
        <f>IF(OR(Modelo!$H10=1,Modelo!$Z10=""),"",SUMPRODUCT(POISSON({1,2,3,4,5},Modelo!$AA10,0),POISSON({0,1,2,3,4},Modelo!$Z10,1)))</f>
        <v/>
      </c>
    </row>
    <row r="11" ht="15" customHeight="1">
      <c r="A11" s="7">
        <f>Modelo!A11</f>
        <v/>
      </c>
      <c r="B11" s="7">
        <f>Modelo!B11</f>
        <v/>
      </c>
      <c r="C11" s="7">
        <f>Modelo!C11</f>
        <v/>
      </c>
      <c r="D11" s="7">
        <f>Modelo!D11</f>
        <v/>
      </c>
      <c r="E11" s="7">
        <f>Modelo!E11</f>
        <v/>
      </c>
      <c r="F11" s="13">
        <f>IF($K11="","",$K11/($K11+$L11+$M11))</f>
        <v/>
      </c>
      <c r="G11" s="13">
        <f>IF($K11="","",$L11/($K11+$L11+$M11))</f>
        <v/>
      </c>
      <c r="H11" s="13">
        <f>IF($K11="","",$M11/($K11+$L11+$M11))</f>
        <v/>
      </c>
      <c r="I11" s="7">
        <f>IF($K11="","",INT(Modelo!$Z11)&amp;"-"&amp;INT(Modelo!$AA11))</f>
        <v/>
      </c>
      <c r="J11" s="13">
        <f>IF($K11="","",POISSON(INT(Modelo!$Z11),Modelo!$Z11,0)*POISSON(INT(Modelo!$AA11),Modelo!$AA11,0))</f>
        <v/>
      </c>
      <c r="K11" s="13">
        <f>IF(OR(Modelo!$H11=1,Modelo!$Z11=""),"",SUMPRODUCT(POISSON({1,2,3,4,5},Modelo!$Z11,0),POISSON({0,1,2,3,4},Modelo!$AA11,1)))</f>
        <v/>
      </c>
      <c r="L11" s="13">
        <f>IF(OR(Modelo!$H11=1,Modelo!$Z11=""),"",SUMPRODUCT(POISSON({0,1,2,3,4,5},Modelo!$Z11,0),POISSON({0,1,2,3,4,5},Modelo!$AA11,0)))</f>
        <v/>
      </c>
      <c r="M11" s="13">
        <f>IF(OR(Modelo!$H11=1,Modelo!$Z11=""),"",SUMPRODUCT(POISSON({1,2,3,4,5},Modelo!$AA11,0),POISSON({0,1,2,3,4},Modelo!$Z11,1)))</f>
        <v/>
      </c>
    </row>
    <row r="12" ht="15" customHeight="1">
      <c r="A12" s="7">
        <f>Modelo!A12</f>
        <v/>
      </c>
      <c r="B12" s="7">
        <f>Modelo!B12</f>
        <v/>
      </c>
      <c r="C12" s="7">
        <f>Modelo!C12</f>
        <v/>
      </c>
      <c r="D12" s="7">
        <f>Modelo!D12</f>
        <v/>
      </c>
      <c r="E12" s="7">
        <f>Modelo!E12</f>
        <v/>
      </c>
      <c r="F12" s="13">
        <f>IF($K12="","",$K12/($K12+$L12+$M12))</f>
        <v/>
      </c>
      <c r="G12" s="13">
        <f>IF($K12="","",$L12/($K12+$L12+$M12))</f>
        <v/>
      </c>
      <c r="H12" s="13">
        <f>IF($K12="","",$M12/($K12+$L12+$M12))</f>
        <v/>
      </c>
      <c r="I12" s="7">
        <f>IF($K12="","",INT(Modelo!$Z12)&amp;"-"&amp;INT(Modelo!$AA12))</f>
        <v/>
      </c>
      <c r="J12" s="13">
        <f>IF($K12="","",POISSON(INT(Modelo!$Z12),Modelo!$Z12,0)*POISSON(INT(Modelo!$AA12),Modelo!$AA12,0))</f>
        <v/>
      </c>
      <c r="K12" s="13">
        <f>IF(OR(Modelo!$H12=1,Modelo!$Z12=""),"",SUMPRODUCT(POISSON({1,2,3,4,5},Modelo!$Z12,0),POISSON({0,1,2,3,4},Modelo!$AA12,1)))</f>
        <v/>
      </c>
      <c r="L12" s="13">
        <f>IF(OR(Modelo!$H12=1,Modelo!$Z12=""),"",SUMPRODUCT(POISSON({0,1,2,3,4,5},Modelo!$Z12,0),POISSON({0,1,2,3,4,5},Modelo!$AA12,0)))</f>
        <v/>
      </c>
      <c r="M12" s="13">
        <f>IF(OR(Modelo!$H12=1,Modelo!$Z12=""),"",SUMPRODUCT(POISSON({1,2,3,4,5},Modelo!$AA12,0),POISSON({0,1,2,3,4},Modelo!$Z12,1)))</f>
        <v/>
      </c>
    </row>
    <row r="13" ht="15" customHeight="1">
      <c r="A13" s="7">
        <f>Modelo!A13</f>
        <v/>
      </c>
      <c r="B13" s="7">
        <f>Modelo!B13</f>
        <v/>
      </c>
      <c r="C13" s="7">
        <f>Modelo!C13</f>
        <v/>
      </c>
      <c r="D13" s="7">
        <f>Modelo!D13</f>
        <v/>
      </c>
      <c r="E13" s="7">
        <f>Modelo!E13</f>
        <v/>
      </c>
      <c r="F13" s="13">
        <f>IF($K13="","",$K13/($K13+$L13+$M13))</f>
        <v/>
      </c>
      <c r="G13" s="13">
        <f>IF($K13="","",$L13/($K13+$L13+$M13))</f>
        <v/>
      </c>
      <c r="H13" s="13">
        <f>IF($K13="","",$M13/($K13+$L13+$M13))</f>
        <v/>
      </c>
      <c r="I13" s="7">
        <f>IF($K13="","",INT(Modelo!$Z13)&amp;"-"&amp;INT(Modelo!$AA13))</f>
        <v/>
      </c>
      <c r="J13" s="13">
        <f>IF($K13="","",POISSON(INT(Modelo!$Z13),Modelo!$Z13,0)*POISSON(INT(Modelo!$AA13),Modelo!$AA13,0))</f>
        <v/>
      </c>
      <c r="K13" s="13">
        <f>IF(OR(Modelo!$H13=1,Modelo!$Z13=""),"",SUMPRODUCT(POISSON({1,2,3,4,5},Modelo!$Z13,0),POISSON({0,1,2,3,4},Modelo!$AA13,1)))</f>
        <v/>
      </c>
      <c r="L13" s="13">
        <f>IF(OR(Modelo!$H13=1,Modelo!$Z13=""),"",SUMPRODUCT(POISSON({0,1,2,3,4,5},Modelo!$Z13,0),POISSON({0,1,2,3,4,5},Modelo!$AA13,0)))</f>
        <v/>
      </c>
      <c r="M13" s="13">
        <f>IF(OR(Modelo!$H13=1,Modelo!$Z13=""),"",SUMPRODUCT(POISSON({1,2,3,4,5},Modelo!$AA13,0),POISSON({0,1,2,3,4},Modelo!$Z13,1)))</f>
        <v/>
      </c>
    </row>
    <row r="14" ht="15" customHeight="1">
      <c r="A14" s="7">
        <f>Modelo!A14</f>
        <v/>
      </c>
      <c r="B14" s="7">
        <f>Modelo!B14</f>
        <v/>
      </c>
      <c r="C14" s="7">
        <f>Modelo!C14</f>
        <v/>
      </c>
      <c r="D14" s="7">
        <f>Modelo!D14</f>
        <v/>
      </c>
      <c r="E14" s="7">
        <f>Modelo!E14</f>
        <v/>
      </c>
      <c r="F14" s="13">
        <f>IF($K14="","",$K14/($K14+$L14+$M14))</f>
        <v/>
      </c>
      <c r="G14" s="13">
        <f>IF($K14="","",$L14/($K14+$L14+$M14))</f>
        <v/>
      </c>
      <c r="H14" s="13">
        <f>IF($K14="","",$M14/($K14+$L14+$M14))</f>
        <v/>
      </c>
      <c r="I14" s="7">
        <f>IF($K14="","",INT(Modelo!$Z14)&amp;"-"&amp;INT(Modelo!$AA14))</f>
        <v/>
      </c>
      <c r="J14" s="13">
        <f>IF($K14="","",POISSON(INT(Modelo!$Z14),Modelo!$Z14,0)*POISSON(INT(Modelo!$AA14),Modelo!$AA14,0))</f>
        <v/>
      </c>
      <c r="K14" s="13">
        <f>IF(OR(Modelo!$H14=1,Modelo!$Z14=""),"",SUMPRODUCT(POISSON({1,2,3,4,5},Modelo!$Z14,0),POISSON({0,1,2,3,4},Modelo!$AA14,1)))</f>
        <v/>
      </c>
      <c r="L14" s="13">
        <f>IF(OR(Modelo!$H14=1,Modelo!$Z14=""),"",SUMPRODUCT(POISSON({0,1,2,3,4,5},Modelo!$Z14,0),POISSON({0,1,2,3,4,5},Modelo!$AA14,0)))</f>
        <v/>
      </c>
      <c r="M14" s="13">
        <f>IF(OR(Modelo!$H14=1,Modelo!$Z14=""),"",SUMPRODUCT(POISSON({1,2,3,4,5},Modelo!$AA14,0),POISSON({0,1,2,3,4},Modelo!$Z14,1)))</f>
        <v/>
      </c>
    </row>
    <row r="15" ht="15" customHeight="1">
      <c r="A15" s="7">
        <f>Modelo!A15</f>
        <v/>
      </c>
      <c r="B15" s="7">
        <f>Modelo!B15</f>
        <v/>
      </c>
      <c r="C15" s="7">
        <f>Modelo!C15</f>
        <v/>
      </c>
      <c r="D15" s="7">
        <f>Modelo!D15</f>
        <v/>
      </c>
      <c r="E15" s="7">
        <f>Modelo!E15</f>
        <v/>
      </c>
      <c r="F15" s="13">
        <f>IF($K15="","",$K15/($K15+$L15+$M15))</f>
        <v/>
      </c>
      <c r="G15" s="13">
        <f>IF($K15="","",$L15/($K15+$L15+$M15))</f>
        <v/>
      </c>
      <c r="H15" s="13">
        <f>IF($K15="","",$M15/($K15+$L15+$M15))</f>
        <v/>
      </c>
      <c r="I15" s="7">
        <f>IF($K15="","",INT(Modelo!$Z15)&amp;"-"&amp;INT(Modelo!$AA15))</f>
        <v/>
      </c>
      <c r="J15" s="13">
        <f>IF($K15="","",POISSON(INT(Modelo!$Z15),Modelo!$Z15,0)*POISSON(INT(Modelo!$AA15),Modelo!$AA15,0))</f>
        <v/>
      </c>
      <c r="K15" s="13">
        <f>IF(OR(Modelo!$H15=1,Modelo!$Z15=""),"",SUMPRODUCT(POISSON({1,2,3,4,5},Modelo!$Z15,0),POISSON({0,1,2,3,4},Modelo!$AA15,1)))</f>
        <v/>
      </c>
      <c r="L15" s="13">
        <f>IF(OR(Modelo!$H15=1,Modelo!$Z15=""),"",SUMPRODUCT(POISSON({0,1,2,3,4,5},Modelo!$Z15,0),POISSON({0,1,2,3,4,5},Modelo!$AA15,0)))</f>
        <v/>
      </c>
      <c r="M15" s="13">
        <f>IF(OR(Modelo!$H15=1,Modelo!$Z15=""),"",SUMPRODUCT(POISSON({1,2,3,4,5},Modelo!$AA15,0),POISSON({0,1,2,3,4},Modelo!$Z15,1)))</f>
        <v/>
      </c>
    </row>
    <row r="16" ht="15" customHeight="1">
      <c r="A16" s="7">
        <f>Modelo!A16</f>
        <v/>
      </c>
      <c r="B16" s="7">
        <f>Modelo!B16</f>
        <v/>
      </c>
      <c r="C16" s="7">
        <f>Modelo!C16</f>
        <v/>
      </c>
      <c r="D16" s="7">
        <f>Modelo!D16</f>
        <v/>
      </c>
      <c r="E16" s="7">
        <f>Modelo!E16</f>
        <v/>
      </c>
      <c r="F16" s="13">
        <f>IF($K16="","",$K16/($K16+$L16+$M16))</f>
        <v/>
      </c>
      <c r="G16" s="13">
        <f>IF($K16="","",$L16/($K16+$L16+$M16))</f>
        <v/>
      </c>
      <c r="H16" s="13">
        <f>IF($K16="","",$M16/($K16+$L16+$M16))</f>
        <v/>
      </c>
      <c r="I16" s="7">
        <f>IF($K16="","",INT(Modelo!$Z16)&amp;"-"&amp;INT(Modelo!$AA16))</f>
        <v/>
      </c>
      <c r="J16" s="13">
        <f>IF($K16="","",POISSON(INT(Modelo!$Z16),Modelo!$Z16,0)*POISSON(INT(Modelo!$AA16),Modelo!$AA16,0))</f>
        <v/>
      </c>
      <c r="K16" s="13">
        <f>IF(OR(Modelo!$H16=1,Modelo!$Z16=""),"",SUMPRODUCT(POISSON({1,2,3,4,5},Modelo!$Z16,0),POISSON({0,1,2,3,4},Modelo!$AA16,1)))</f>
        <v/>
      </c>
      <c r="L16" s="13">
        <f>IF(OR(Modelo!$H16=1,Modelo!$Z16=""),"",SUMPRODUCT(POISSON({0,1,2,3,4,5},Modelo!$Z16,0),POISSON({0,1,2,3,4,5},Modelo!$AA16,0)))</f>
        <v/>
      </c>
      <c r="M16" s="13">
        <f>IF(OR(Modelo!$H16=1,Modelo!$Z16=""),"",SUMPRODUCT(POISSON({1,2,3,4,5},Modelo!$AA16,0),POISSON({0,1,2,3,4},Modelo!$Z16,1)))</f>
        <v/>
      </c>
    </row>
    <row r="17" ht="15" customHeight="1">
      <c r="A17" s="7">
        <f>Modelo!A17</f>
        <v/>
      </c>
      <c r="B17" s="7">
        <f>Modelo!B17</f>
        <v/>
      </c>
      <c r="C17" s="7">
        <f>Modelo!C17</f>
        <v/>
      </c>
      <c r="D17" s="7">
        <f>Modelo!D17</f>
        <v/>
      </c>
      <c r="E17" s="7">
        <f>Modelo!E17</f>
        <v/>
      </c>
      <c r="F17" s="13">
        <f>IF($K17="","",$K17/($K17+$L17+$M17))</f>
        <v/>
      </c>
      <c r="G17" s="13">
        <f>IF($K17="","",$L17/($K17+$L17+$M17))</f>
        <v/>
      </c>
      <c r="H17" s="13">
        <f>IF($K17="","",$M17/($K17+$L17+$M17))</f>
        <v/>
      </c>
      <c r="I17" s="7">
        <f>IF($K17="","",INT(Modelo!$Z17)&amp;"-"&amp;INT(Modelo!$AA17))</f>
        <v/>
      </c>
      <c r="J17" s="13">
        <f>IF($K17="","",POISSON(INT(Modelo!$Z17),Modelo!$Z17,0)*POISSON(INT(Modelo!$AA17),Modelo!$AA17,0))</f>
        <v/>
      </c>
      <c r="K17" s="13">
        <f>IF(OR(Modelo!$H17=1,Modelo!$Z17=""),"",SUMPRODUCT(POISSON({1,2,3,4,5},Modelo!$Z17,0),POISSON({0,1,2,3,4},Modelo!$AA17,1)))</f>
        <v/>
      </c>
      <c r="L17" s="13">
        <f>IF(OR(Modelo!$H17=1,Modelo!$Z17=""),"",SUMPRODUCT(POISSON({0,1,2,3,4,5},Modelo!$Z17,0),POISSON({0,1,2,3,4,5},Modelo!$AA17,0)))</f>
        <v/>
      </c>
      <c r="M17" s="13">
        <f>IF(OR(Modelo!$H17=1,Modelo!$Z17=""),"",SUMPRODUCT(POISSON({1,2,3,4,5},Modelo!$AA17,0),POISSON({0,1,2,3,4},Modelo!$Z17,1)))</f>
        <v/>
      </c>
    </row>
    <row r="18" ht="15" customHeight="1">
      <c r="A18" s="7">
        <f>Modelo!A18</f>
        <v/>
      </c>
      <c r="B18" s="7">
        <f>Modelo!B18</f>
        <v/>
      </c>
      <c r="C18" s="7">
        <f>Modelo!C18</f>
        <v/>
      </c>
      <c r="D18" s="7">
        <f>Modelo!D18</f>
        <v/>
      </c>
      <c r="E18" s="7">
        <f>Modelo!E18</f>
        <v/>
      </c>
      <c r="F18" s="13">
        <f>IF($K18="","",$K18/($K18+$L18+$M18))</f>
        <v/>
      </c>
      <c r="G18" s="13">
        <f>IF($K18="","",$L18/($K18+$L18+$M18))</f>
        <v/>
      </c>
      <c r="H18" s="13">
        <f>IF($K18="","",$M18/($K18+$L18+$M18))</f>
        <v/>
      </c>
      <c r="I18" s="7">
        <f>IF($K18="","",INT(Modelo!$Z18)&amp;"-"&amp;INT(Modelo!$AA18))</f>
        <v/>
      </c>
      <c r="J18" s="13">
        <f>IF($K18="","",POISSON(INT(Modelo!$Z18),Modelo!$Z18,0)*POISSON(INT(Modelo!$AA18),Modelo!$AA18,0))</f>
        <v/>
      </c>
      <c r="K18" s="13">
        <f>IF(OR(Modelo!$H18=1,Modelo!$Z18=""),"",SUMPRODUCT(POISSON({1,2,3,4,5},Modelo!$Z18,0),POISSON({0,1,2,3,4},Modelo!$AA18,1)))</f>
        <v/>
      </c>
      <c r="L18" s="13">
        <f>IF(OR(Modelo!$H18=1,Modelo!$Z18=""),"",SUMPRODUCT(POISSON({0,1,2,3,4,5},Modelo!$Z18,0),POISSON({0,1,2,3,4,5},Modelo!$AA18,0)))</f>
        <v/>
      </c>
      <c r="M18" s="13">
        <f>IF(OR(Modelo!$H18=1,Modelo!$Z18=""),"",SUMPRODUCT(POISSON({1,2,3,4,5},Modelo!$AA18,0),POISSON({0,1,2,3,4},Modelo!$Z18,1)))</f>
        <v/>
      </c>
    </row>
    <row r="19" ht="15" customHeight="1">
      <c r="A19" s="7">
        <f>Modelo!A19</f>
        <v/>
      </c>
      <c r="B19" s="7">
        <f>Modelo!B19</f>
        <v/>
      </c>
      <c r="C19" s="7">
        <f>Modelo!C19</f>
        <v/>
      </c>
      <c r="D19" s="7">
        <f>Modelo!D19</f>
        <v/>
      </c>
      <c r="E19" s="7">
        <f>Modelo!E19</f>
        <v/>
      </c>
      <c r="F19" s="13">
        <f>IF($K19="","",$K19/($K19+$L19+$M19))</f>
        <v/>
      </c>
      <c r="G19" s="13">
        <f>IF($K19="","",$L19/($K19+$L19+$M19))</f>
        <v/>
      </c>
      <c r="H19" s="13">
        <f>IF($K19="","",$M19/($K19+$L19+$M19))</f>
        <v/>
      </c>
      <c r="I19" s="7">
        <f>IF($K19="","",INT(Modelo!$Z19)&amp;"-"&amp;INT(Modelo!$AA19))</f>
        <v/>
      </c>
      <c r="J19" s="13">
        <f>IF($K19="","",POISSON(INT(Modelo!$Z19),Modelo!$Z19,0)*POISSON(INT(Modelo!$AA19),Modelo!$AA19,0))</f>
        <v/>
      </c>
      <c r="K19" s="13">
        <f>IF(OR(Modelo!$H19=1,Modelo!$Z19=""),"",SUMPRODUCT(POISSON({1,2,3,4,5},Modelo!$Z19,0),POISSON({0,1,2,3,4},Modelo!$AA19,1)))</f>
        <v/>
      </c>
      <c r="L19" s="13">
        <f>IF(OR(Modelo!$H19=1,Modelo!$Z19=""),"",SUMPRODUCT(POISSON({0,1,2,3,4,5},Modelo!$Z19,0),POISSON({0,1,2,3,4,5},Modelo!$AA19,0)))</f>
        <v/>
      </c>
      <c r="M19" s="13">
        <f>IF(OR(Modelo!$H19=1,Modelo!$Z19=""),"",SUMPRODUCT(POISSON({1,2,3,4,5},Modelo!$AA19,0),POISSON({0,1,2,3,4},Modelo!$Z19,1)))</f>
        <v/>
      </c>
    </row>
    <row r="20" ht="15" customHeight="1">
      <c r="A20" s="7">
        <f>Modelo!A20</f>
        <v/>
      </c>
      <c r="B20" s="7">
        <f>Modelo!B20</f>
        <v/>
      </c>
      <c r="C20" s="7">
        <f>Modelo!C20</f>
        <v/>
      </c>
      <c r="D20" s="7">
        <f>Modelo!D20</f>
        <v/>
      </c>
      <c r="E20" s="7">
        <f>Modelo!E20</f>
        <v/>
      </c>
      <c r="F20" s="13">
        <f>IF($K20="","",$K20/($K20+$L20+$M20))</f>
        <v/>
      </c>
      <c r="G20" s="13">
        <f>IF($K20="","",$L20/($K20+$L20+$M20))</f>
        <v/>
      </c>
      <c r="H20" s="13">
        <f>IF($K20="","",$M20/($K20+$L20+$M20))</f>
        <v/>
      </c>
      <c r="I20" s="7">
        <f>IF($K20="","",INT(Modelo!$Z20)&amp;"-"&amp;INT(Modelo!$AA20))</f>
        <v/>
      </c>
      <c r="J20" s="13">
        <f>IF($K20="","",POISSON(INT(Modelo!$Z20),Modelo!$Z20,0)*POISSON(INT(Modelo!$AA20),Modelo!$AA20,0))</f>
        <v/>
      </c>
      <c r="K20" s="13">
        <f>IF(OR(Modelo!$H20=1,Modelo!$Z20=""),"",SUMPRODUCT(POISSON({1,2,3,4,5},Modelo!$Z20,0),POISSON({0,1,2,3,4},Modelo!$AA20,1)))</f>
        <v/>
      </c>
      <c r="L20" s="13">
        <f>IF(OR(Modelo!$H20=1,Modelo!$Z20=""),"",SUMPRODUCT(POISSON({0,1,2,3,4,5},Modelo!$Z20,0),POISSON({0,1,2,3,4,5},Modelo!$AA20,0)))</f>
        <v/>
      </c>
      <c r="M20" s="13">
        <f>IF(OR(Modelo!$H20=1,Modelo!$Z20=""),"",SUMPRODUCT(POISSON({1,2,3,4,5},Modelo!$AA20,0),POISSON({0,1,2,3,4},Modelo!$Z20,1)))</f>
        <v/>
      </c>
    </row>
    <row r="21" ht="15" customHeight="1">
      <c r="A21" s="7">
        <f>Modelo!A21</f>
        <v/>
      </c>
      <c r="B21" s="7">
        <f>Modelo!B21</f>
        <v/>
      </c>
      <c r="C21" s="7">
        <f>Modelo!C21</f>
        <v/>
      </c>
      <c r="D21" s="7">
        <f>Modelo!D21</f>
        <v/>
      </c>
      <c r="E21" s="7">
        <f>Modelo!E21</f>
        <v/>
      </c>
      <c r="F21" s="13">
        <f>IF($K21="","",$K21/($K21+$L21+$M21))</f>
        <v/>
      </c>
      <c r="G21" s="13">
        <f>IF($K21="","",$L21/($K21+$L21+$M21))</f>
        <v/>
      </c>
      <c r="H21" s="13">
        <f>IF($K21="","",$M21/($K21+$L21+$M21))</f>
        <v/>
      </c>
      <c r="I21" s="7">
        <f>IF($K21="","",INT(Modelo!$Z21)&amp;"-"&amp;INT(Modelo!$AA21))</f>
        <v/>
      </c>
      <c r="J21" s="13">
        <f>IF($K21="","",POISSON(INT(Modelo!$Z21),Modelo!$Z21,0)*POISSON(INT(Modelo!$AA21),Modelo!$AA21,0))</f>
        <v/>
      </c>
      <c r="K21" s="13">
        <f>IF(OR(Modelo!$H21=1,Modelo!$Z21=""),"",SUMPRODUCT(POISSON({1,2,3,4,5},Modelo!$Z21,0),POISSON({0,1,2,3,4},Modelo!$AA21,1)))</f>
        <v/>
      </c>
      <c r="L21" s="13">
        <f>IF(OR(Modelo!$H21=1,Modelo!$Z21=""),"",SUMPRODUCT(POISSON({0,1,2,3,4,5},Modelo!$Z21,0),POISSON({0,1,2,3,4,5},Modelo!$AA21,0)))</f>
        <v/>
      </c>
      <c r="M21" s="13">
        <f>IF(OR(Modelo!$H21=1,Modelo!$Z21=""),"",SUMPRODUCT(POISSON({1,2,3,4,5},Modelo!$AA21,0),POISSON({0,1,2,3,4},Modelo!$Z21,1)))</f>
        <v/>
      </c>
    </row>
    <row r="22" ht="15" customHeight="1">
      <c r="A22" s="7">
        <f>Modelo!A22</f>
        <v/>
      </c>
      <c r="B22" s="7">
        <f>Modelo!B22</f>
        <v/>
      </c>
      <c r="C22" s="7">
        <f>Modelo!C22</f>
        <v/>
      </c>
      <c r="D22" s="7">
        <f>Modelo!D22</f>
        <v/>
      </c>
      <c r="E22" s="7">
        <f>Modelo!E22</f>
        <v/>
      </c>
      <c r="F22" s="13">
        <f>IF($K22="","",$K22/($K22+$L22+$M22))</f>
        <v/>
      </c>
      <c r="G22" s="13">
        <f>IF($K22="","",$L22/($K22+$L22+$M22))</f>
        <v/>
      </c>
      <c r="H22" s="13">
        <f>IF($K22="","",$M22/($K22+$L22+$M22))</f>
        <v/>
      </c>
      <c r="I22" s="7">
        <f>IF($K22="","",INT(Modelo!$Z22)&amp;"-"&amp;INT(Modelo!$AA22))</f>
        <v/>
      </c>
      <c r="J22" s="13">
        <f>IF($K22="","",POISSON(INT(Modelo!$Z22),Modelo!$Z22,0)*POISSON(INT(Modelo!$AA22),Modelo!$AA22,0))</f>
        <v/>
      </c>
      <c r="K22" s="13">
        <f>IF(OR(Modelo!$H22=1,Modelo!$Z22=""),"",SUMPRODUCT(POISSON({1,2,3,4,5},Modelo!$Z22,0),POISSON({0,1,2,3,4},Modelo!$AA22,1)))</f>
        <v/>
      </c>
      <c r="L22" s="13">
        <f>IF(OR(Modelo!$H22=1,Modelo!$Z22=""),"",SUMPRODUCT(POISSON({0,1,2,3,4,5},Modelo!$Z22,0),POISSON({0,1,2,3,4,5},Modelo!$AA22,0)))</f>
        <v/>
      </c>
      <c r="M22" s="13">
        <f>IF(OR(Modelo!$H22=1,Modelo!$Z22=""),"",SUMPRODUCT(POISSON({1,2,3,4,5},Modelo!$AA22,0),POISSON({0,1,2,3,4},Modelo!$Z22,1)))</f>
        <v/>
      </c>
    </row>
    <row r="23" ht="15" customHeight="1">
      <c r="A23" s="7">
        <f>Modelo!A23</f>
        <v/>
      </c>
      <c r="B23" s="7">
        <f>Modelo!B23</f>
        <v/>
      </c>
      <c r="C23" s="7">
        <f>Modelo!C23</f>
        <v/>
      </c>
      <c r="D23" s="7">
        <f>Modelo!D23</f>
        <v/>
      </c>
      <c r="E23" s="7">
        <f>Modelo!E23</f>
        <v/>
      </c>
      <c r="F23" s="13">
        <f>IF($K23="","",$K23/($K23+$L23+$M23))</f>
        <v/>
      </c>
      <c r="G23" s="13">
        <f>IF($K23="","",$L23/($K23+$L23+$M23))</f>
        <v/>
      </c>
      <c r="H23" s="13">
        <f>IF($K23="","",$M23/($K23+$L23+$M23))</f>
        <v/>
      </c>
      <c r="I23" s="7">
        <f>IF($K23="","",INT(Modelo!$Z23)&amp;"-"&amp;INT(Modelo!$AA23))</f>
        <v/>
      </c>
      <c r="J23" s="13">
        <f>IF($K23="","",POISSON(INT(Modelo!$Z23),Modelo!$Z23,0)*POISSON(INT(Modelo!$AA23),Modelo!$AA23,0))</f>
        <v/>
      </c>
      <c r="K23" s="13">
        <f>IF(OR(Modelo!$H23=1,Modelo!$Z23=""),"",SUMPRODUCT(POISSON({1,2,3,4,5},Modelo!$Z23,0),POISSON({0,1,2,3,4},Modelo!$AA23,1)))</f>
        <v/>
      </c>
      <c r="L23" s="13">
        <f>IF(OR(Modelo!$H23=1,Modelo!$Z23=""),"",SUMPRODUCT(POISSON({0,1,2,3,4,5},Modelo!$Z23,0),POISSON({0,1,2,3,4,5},Modelo!$AA23,0)))</f>
        <v/>
      </c>
      <c r="M23" s="13">
        <f>IF(OR(Modelo!$H23=1,Modelo!$Z23=""),"",SUMPRODUCT(POISSON({1,2,3,4,5},Modelo!$AA23,0),POISSON({0,1,2,3,4},Modelo!$Z23,1)))</f>
        <v/>
      </c>
    </row>
    <row r="24" ht="15" customHeight="1">
      <c r="A24" s="7">
        <f>Modelo!A24</f>
        <v/>
      </c>
      <c r="B24" s="7">
        <f>Modelo!B24</f>
        <v/>
      </c>
      <c r="C24" s="7">
        <f>Modelo!C24</f>
        <v/>
      </c>
      <c r="D24" s="7">
        <f>Modelo!D24</f>
        <v/>
      </c>
      <c r="E24" s="7">
        <f>Modelo!E24</f>
        <v/>
      </c>
      <c r="F24" s="13">
        <f>IF($K24="","",$K24/($K24+$L24+$M24))</f>
        <v/>
      </c>
      <c r="G24" s="13">
        <f>IF($K24="","",$L24/($K24+$L24+$M24))</f>
        <v/>
      </c>
      <c r="H24" s="13">
        <f>IF($K24="","",$M24/($K24+$L24+$M24))</f>
        <v/>
      </c>
      <c r="I24" s="7">
        <f>IF($K24="","",INT(Modelo!$Z24)&amp;"-"&amp;INT(Modelo!$AA24))</f>
        <v/>
      </c>
      <c r="J24" s="13">
        <f>IF($K24="","",POISSON(INT(Modelo!$Z24),Modelo!$Z24,0)*POISSON(INT(Modelo!$AA24),Modelo!$AA24,0))</f>
        <v/>
      </c>
      <c r="K24" s="13">
        <f>IF(OR(Modelo!$H24=1,Modelo!$Z24=""),"",SUMPRODUCT(POISSON({1,2,3,4,5},Modelo!$Z24,0),POISSON({0,1,2,3,4},Modelo!$AA24,1)))</f>
        <v/>
      </c>
      <c r="L24" s="13">
        <f>IF(OR(Modelo!$H24=1,Modelo!$Z24=""),"",SUMPRODUCT(POISSON({0,1,2,3,4,5},Modelo!$Z24,0),POISSON({0,1,2,3,4,5},Modelo!$AA24,0)))</f>
        <v/>
      </c>
      <c r="M24" s="13">
        <f>IF(OR(Modelo!$H24=1,Modelo!$Z24=""),"",SUMPRODUCT(POISSON({1,2,3,4,5},Modelo!$AA24,0),POISSON({0,1,2,3,4},Modelo!$Z24,1)))</f>
        <v/>
      </c>
    </row>
    <row r="25" ht="15" customHeight="1">
      <c r="A25" s="7">
        <f>Modelo!A25</f>
        <v/>
      </c>
      <c r="B25" s="7">
        <f>Modelo!B25</f>
        <v/>
      </c>
      <c r="C25" s="7">
        <f>Modelo!C25</f>
        <v/>
      </c>
      <c r="D25" s="7">
        <f>Modelo!D25</f>
        <v/>
      </c>
      <c r="E25" s="7">
        <f>Modelo!E25</f>
        <v/>
      </c>
      <c r="F25" s="13">
        <f>IF($K25="","",$K25/($K25+$L25+$M25))</f>
        <v/>
      </c>
      <c r="G25" s="13">
        <f>IF($K25="","",$L25/($K25+$L25+$M25))</f>
        <v/>
      </c>
      <c r="H25" s="13">
        <f>IF($K25="","",$M25/($K25+$L25+$M25))</f>
        <v/>
      </c>
      <c r="I25" s="7">
        <f>IF($K25="","",INT(Modelo!$Z25)&amp;"-"&amp;INT(Modelo!$AA25))</f>
        <v/>
      </c>
      <c r="J25" s="13">
        <f>IF($K25="","",POISSON(INT(Modelo!$Z25),Modelo!$Z25,0)*POISSON(INT(Modelo!$AA25),Modelo!$AA25,0))</f>
        <v/>
      </c>
      <c r="K25" s="13">
        <f>IF(OR(Modelo!$H25=1,Modelo!$Z25=""),"",SUMPRODUCT(POISSON({1,2,3,4,5},Modelo!$Z25,0),POISSON({0,1,2,3,4},Modelo!$AA25,1)))</f>
        <v/>
      </c>
      <c r="L25" s="13">
        <f>IF(OR(Modelo!$H25=1,Modelo!$Z25=""),"",SUMPRODUCT(POISSON({0,1,2,3,4,5},Modelo!$Z25,0),POISSON({0,1,2,3,4,5},Modelo!$AA25,0)))</f>
        <v/>
      </c>
      <c r="M25" s="13">
        <f>IF(OR(Modelo!$H25=1,Modelo!$Z25=""),"",SUMPRODUCT(POISSON({1,2,3,4,5},Modelo!$AA25,0),POISSON({0,1,2,3,4},Modelo!$Z25,1)))</f>
        <v/>
      </c>
    </row>
    <row r="26" ht="15" customHeight="1">
      <c r="A26" s="7">
        <f>Modelo!A26</f>
        <v/>
      </c>
      <c r="B26" s="7">
        <f>Modelo!B26</f>
        <v/>
      </c>
      <c r="C26" s="7">
        <f>Modelo!C26</f>
        <v/>
      </c>
      <c r="D26" s="7">
        <f>Modelo!D26</f>
        <v/>
      </c>
      <c r="E26" s="7">
        <f>Modelo!E26</f>
        <v/>
      </c>
      <c r="F26" s="13">
        <f>IF($K26="","",$K26/($K26+$L26+$M26))</f>
        <v/>
      </c>
      <c r="G26" s="13">
        <f>IF($K26="","",$L26/($K26+$L26+$M26))</f>
        <v/>
      </c>
      <c r="H26" s="13">
        <f>IF($K26="","",$M26/($K26+$L26+$M26))</f>
        <v/>
      </c>
      <c r="I26" s="7">
        <f>IF($K26="","",INT(Modelo!$Z26)&amp;"-"&amp;INT(Modelo!$AA26))</f>
        <v/>
      </c>
      <c r="J26" s="13">
        <f>IF($K26="","",POISSON(INT(Modelo!$Z26),Modelo!$Z26,0)*POISSON(INT(Modelo!$AA26),Modelo!$AA26,0))</f>
        <v/>
      </c>
      <c r="K26" s="13">
        <f>IF(OR(Modelo!$H26=1,Modelo!$Z26=""),"",SUMPRODUCT(POISSON({1,2,3,4,5},Modelo!$Z26,0),POISSON({0,1,2,3,4},Modelo!$AA26,1)))</f>
        <v/>
      </c>
      <c r="L26" s="13">
        <f>IF(OR(Modelo!$H26=1,Modelo!$Z26=""),"",SUMPRODUCT(POISSON({0,1,2,3,4,5},Modelo!$Z26,0),POISSON({0,1,2,3,4,5},Modelo!$AA26,0)))</f>
        <v/>
      </c>
      <c r="M26" s="13">
        <f>IF(OR(Modelo!$H26=1,Modelo!$Z26=""),"",SUMPRODUCT(POISSON({1,2,3,4,5},Modelo!$AA26,0),POISSON({0,1,2,3,4},Modelo!$Z26,1)))</f>
        <v/>
      </c>
    </row>
    <row r="27" ht="15" customHeight="1">
      <c r="A27" s="7">
        <f>Modelo!A27</f>
        <v/>
      </c>
      <c r="B27" s="7">
        <f>Modelo!B27</f>
        <v/>
      </c>
      <c r="C27" s="7">
        <f>Modelo!C27</f>
        <v/>
      </c>
      <c r="D27" s="7">
        <f>Modelo!D27</f>
        <v/>
      </c>
      <c r="E27" s="7">
        <f>Modelo!E27</f>
        <v/>
      </c>
      <c r="F27" s="13">
        <f>IF($K27="","",$K27/($K27+$L27+$M27))</f>
        <v/>
      </c>
      <c r="G27" s="13">
        <f>IF($K27="","",$L27/($K27+$L27+$M27))</f>
        <v/>
      </c>
      <c r="H27" s="13">
        <f>IF($K27="","",$M27/($K27+$L27+$M27))</f>
        <v/>
      </c>
      <c r="I27" s="7">
        <f>IF($K27="","",INT(Modelo!$Z27)&amp;"-"&amp;INT(Modelo!$AA27))</f>
        <v/>
      </c>
      <c r="J27" s="13">
        <f>IF($K27="","",POISSON(INT(Modelo!$Z27),Modelo!$Z27,0)*POISSON(INT(Modelo!$AA27),Modelo!$AA27,0))</f>
        <v/>
      </c>
      <c r="K27" s="13">
        <f>IF(OR(Modelo!$H27=1,Modelo!$Z27=""),"",SUMPRODUCT(POISSON({1,2,3,4,5},Modelo!$Z27,0),POISSON({0,1,2,3,4},Modelo!$AA27,1)))</f>
        <v/>
      </c>
      <c r="L27" s="13">
        <f>IF(OR(Modelo!$H27=1,Modelo!$Z27=""),"",SUMPRODUCT(POISSON({0,1,2,3,4,5},Modelo!$Z27,0),POISSON({0,1,2,3,4,5},Modelo!$AA27,0)))</f>
        <v/>
      </c>
      <c r="M27" s="13">
        <f>IF(OR(Modelo!$H27=1,Modelo!$Z27=""),"",SUMPRODUCT(POISSON({1,2,3,4,5},Modelo!$AA27,0),POISSON({0,1,2,3,4},Modelo!$Z27,1)))</f>
        <v/>
      </c>
    </row>
    <row r="28" ht="15" customHeight="1">
      <c r="A28" s="7">
        <f>Modelo!A28</f>
        <v/>
      </c>
      <c r="B28" s="7">
        <f>Modelo!B28</f>
        <v/>
      </c>
      <c r="C28" s="7">
        <f>Modelo!C28</f>
        <v/>
      </c>
      <c r="D28" s="7">
        <f>Modelo!D28</f>
        <v/>
      </c>
      <c r="E28" s="7">
        <f>Modelo!E28</f>
        <v/>
      </c>
      <c r="F28" s="13">
        <f>IF($K28="","",$K28/($K28+$L28+$M28))</f>
        <v/>
      </c>
      <c r="G28" s="13">
        <f>IF($K28="","",$L28/($K28+$L28+$M28))</f>
        <v/>
      </c>
      <c r="H28" s="13">
        <f>IF($K28="","",$M28/($K28+$L28+$M28))</f>
        <v/>
      </c>
      <c r="I28" s="7">
        <f>IF($K28="","",INT(Modelo!$Z28)&amp;"-"&amp;INT(Modelo!$AA28))</f>
        <v/>
      </c>
      <c r="J28" s="13">
        <f>IF($K28="","",POISSON(INT(Modelo!$Z28),Modelo!$Z28,0)*POISSON(INT(Modelo!$AA28),Modelo!$AA28,0))</f>
        <v/>
      </c>
      <c r="K28" s="13">
        <f>IF(OR(Modelo!$H28=1,Modelo!$Z28=""),"",SUMPRODUCT(POISSON({1,2,3,4,5},Modelo!$Z28,0),POISSON({0,1,2,3,4},Modelo!$AA28,1)))</f>
        <v/>
      </c>
      <c r="L28" s="13">
        <f>IF(OR(Modelo!$H28=1,Modelo!$Z28=""),"",SUMPRODUCT(POISSON({0,1,2,3,4,5},Modelo!$Z28,0),POISSON({0,1,2,3,4,5},Modelo!$AA28,0)))</f>
        <v/>
      </c>
      <c r="M28" s="13">
        <f>IF(OR(Modelo!$H28=1,Modelo!$Z28=""),"",SUMPRODUCT(POISSON({1,2,3,4,5},Modelo!$AA28,0),POISSON({0,1,2,3,4},Modelo!$Z28,1)))</f>
        <v/>
      </c>
    </row>
    <row r="29" ht="15" customHeight="1">
      <c r="A29" s="7">
        <f>Modelo!A29</f>
        <v/>
      </c>
      <c r="B29" s="7">
        <f>Modelo!B29</f>
        <v/>
      </c>
      <c r="C29" s="7">
        <f>Modelo!C29</f>
        <v/>
      </c>
      <c r="D29" s="7">
        <f>Modelo!D29</f>
        <v/>
      </c>
      <c r="E29" s="7">
        <f>Modelo!E29</f>
        <v/>
      </c>
      <c r="F29" s="13">
        <f>IF($K29="","",$K29/($K29+$L29+$M29))</f>
        <v/>
      </c>
      <c r="G29" s="13">
        <f>IF($K29="","",$L29/($K29+$L29+$M29))</f>
        <v/>
      </c>
      <c r="H29" s="13">
        <f>IF($K29="","",$M29/($K29+$L29+$M29))</f>
        <v/>
      </c>
      <c r="I29" s="7">
        <f>IF($K29="","",INT(Modelo!$Z29)&amp;"-"&amp;INT(Modelo!$AA29))</f>
        <v/>
      </c>
      <c r="J29" s="13">
        <f>IF($K29="","",POISSON(INT(Modelo!$Z29),Modelo!$Z29,0)*POISSON(INT(Modelo!$AA29),Modelo!$AA29,0))</f>
        <v/>
      </c>
      <c r="K29" s="13">
        <f>IF(OR(Modelo!$H29=1,Modelo!$Z29=""),"",SUMPRODUCT(POISSON({1,2,3,4,5},Modelo!$Z29,0),POISSON({0,1,2,3,4},Modelo!$AA29,1)))</f>
        <v/>
      </c>
      <c r="L29" s="13">
        <f>IF(OR(Modelo!$H29=1,Modelo!$Z29=""),"",SUMPRODUCT(POISSON({0,1,2,3,4,5},Modelo!$Z29,0),POISSON({0,1,2,3,4,5},Modelo!$AA29,0)))</f>
        <v/>
      </c>
      <c r="M29" s="13">
        <f>IF(OR(Modelo!$H29=1,Modelo!$Z29=""),"",SUMPRODUCT(POISSON({1,2,3,4,5},Modelo!$AA29,0),POISSON({0,1,2,3,4},Modelo!$Z29,1)))</f>
        <v/>
      </c>
    </row>
    <row r="30" ht="15" customHeight="1">
      <c r="A30" s="7">
        <f>Modelo!A30</f>
        <v/>
      </c>
      <c r="B30" s="7">
        <f>Modelo!B30</f>
        <v/>
      </c>
      <c r="C30" s="7">
        <f>Modelo!C30</f>
        <v/>
      </c>
      <c r="D30" s="7">
        <f>Modelo!D30</f>
        <v/>
      </c>
      <c r="E30" s="7">
        <f>Modelo!E30</f>
        <v/>
      </c>
      <c r="F30" s="13">
        <f>IF($K30="","",$K30/($K30+$L30+$M30))</f>
        <v/>
      </c>
      <c r="G30" s="13">
        <f>IF($K30="","",$L30/($K30+$L30+$M30))</f>
        <v/>
      </c>
      <c r="H30" s="13">
        <f>IF($K30="","",$M30/($K30+$L30+$M30))</f>
        <v/>
      </c>
      <c r="I30" s="7">
        <f>IF($K30="","",INT(Modelo!$Z30)&amp;"-"&amp;INT(Modelo!$AA30))</f>
        <v/>
      </c>
      <c r="J30" s="13">
        <f>IF($K30="","",POISSON(INT(Modelo!$Z30),Modelo!$Z30,0)*POISSON(INT(Modelo!$AA30),Modelo!$AA30,0))</f>
        <v/>
      </c>
      <c r="K30" s="13">
        <f>IF(OR(Modelo!$H30=1,Modelo!$Z30=""),"",SUMPRODUCT(POISSON({1,2,3,4,5},Modelo!$Z30,0),POISSON({0,1,2,3,4},Modelo!$AA30,1)))</f>
        <v/>
      </c>
      <c r="L30" s="13">
        <f>IF(OR(Modelo!$H30=1,Modelo!$Z30=""),"",SUMPRODUCT(POISSON({0,1,2,3,4,5},Modelo!$Z30,0),POISSON({0,1,2,3,4,5},Modelo!$AA30,0)))</f>
        <v/>
      </c>
      <c r="M30" s="13">
        <f>IF(OR(Modelo!$H30=1,Modelo!$Z30=""),"",SUMPRODUCT(POISSON({1,2,3,4,5},Modelo!$AA30,0),POISSON({0,1,2,3,4},Modelo!$Z30,1)))</f>
        <v/>
      </c>
    </row>
    <row r="31" ht="15" customHeight="1">
      <c r="A31" s="7">
        <f>Modelo!A31</f>
        <v/>
      </c>
      <c r="B31" s="7">
        <f>Modelo!B31</f>
        <v/>
      </c>
      <c r="C31" s="7">
        <f>Modelo!C31</f>
        <v/>
      </c>
      <c r="D31" s="7">
        <f>Modelo!D31</f>
        <v/>
      </c>
      <c r="E31" s="7">
        <f>Modelo!E31</f>
        <v/>
      </c>
      <c r="F31" s="13">
        <f>IF($K31="","",$K31/($K31+$L31+$M31))</f>
        <v/>
      </c>
      <c r="G31" s="13">
        <f>IF($K31="","",$L31/($K31+$L31+$M31))</f>
        <v/>
      </c>
      <c r="H31" s="13">
        <f>IF($K31="","",$M31/($K31+$L31+$M31))</f>
        <v/>
      </c>
      <c r="I31" s="7">
        <f>IF($K31="","",INT(Modelo!$Z31)&amp;"-"&amp;INT(Modelo!$AA31))</f>
        <v/>
      </c>
      <c r="J31" s="13">
        <f>IF($K31="","",POISSON(INT(Modelo!$Z31),Modelo!$Z31,0)*POISSON(INT(Modelo!$AA31),Modelo!$AA31,0))</f>
        <v/>
      </c>
      <c r="K31" s="13">
        <f>IF(OR(Modelo!$H31=1,Modelo!$Z31=""),"",SUMPRODUCT(POISSON({1,2,3,4,5},Modelo!$Z31,0),POISSON({0,1,2,3,4},Modelo!$AA31,1)))</f>
        <v/>
      </c>
      <c r="L31" s="13">
        <f>IF(OR(Modelo!$H31=1,Modelo!$Z31=""),"",SUMPRODUCT(POISSON({0,1,2,3,4,5},Modelo!$Z31,0),POISSON({0,1,2,3,4,5},Modelo!$AA31,0)))</f>
        <v/>
      </c>
      <c r="M31" s="13">
        <f>IF(OR(Modelo!$H31=1,Modelo!$Z31=""),"",SUMPRODUCT(POISSON({1,2,3,4,5},Modelo!$AA31,0),POISSON({0,1,2,3,4},Modelo!$Z31,1)))</f>
        <v/>
      </c>
    </row>
    <row r="32" ht="15" customHeight="1">
      <c r="A32" s="7">
        <f>Modelo!A32</f>
        <v/>
      </c>
      <c r="B32" s="7">
        <f>Modelo!B32</f>
        <v/>
      </c>
      <c r="C32" s="7">
        <f>Modelo!C32</f>
        <v/>
      </c>
      <c r="D32" s="7">
        <f>Modelo!D32</f>
        <v/>
      </c>
      <c r="E32" s="7">
        <f>Modelo!E32</f>
        <v/>
      </c>
      <c r="F32" s="13">
        <f>IF($K32="","",$K32/($K32+$L32+$M32))</f>
        <v/>
      </c>
      <c r="G32" s="13">
        <f>IF($K32="","",$L32/($K32+$L32+$M32))</f>
        <v/>
      </c>
      <c r="H32" s="13">
        <f>IF($K32="","",$M32/($K32+$L32+$M32))</f>
        <v/>
      </c>
      <c r="I32" s="7">
        <f>IF($K32="","",INT(Modelo!$Z32)&amp;"-"&amp;INT(Modelo!$AA32))</f>
        <v/>
      </c>
      <c r="J32" s="13">
        <f>IF($K32="","",POISSON(INT(Modelo!$Z32),Modelo!$Z32,0)*POISSON(INT(Modelo!$AA32),Modelo!$AA32,0))</f>
        <v/>
      </c>
      <c r="K32" s="13">
        <f>IF(OR(Modelo!$H32=1,Modelo!$Z32=""),"",SUMPRODUCT(POISSON({1,2,3,4,5},Modelo!$Z32,0),POISSON({0,1,2,3,4},Modelo!$AA32,1)))</f>
        <v/>
      </c>
      <c r="L32" s="13">
        <f>IF(OR(Modelo!$H32=1,Modelo!$Z32=""),"",SUMPRODUCT(POISSON({0,1,2,3,4,5},Modelo!$Z32,0),POISSON({0,1,2,3,4,5},Modelo!$AA32,0)))</f>
        <v/>
      </c>
      <c r="M32" s="13">
        <f>IF(OR(Modelo!$H32=1,Modelo!$Z32=""),"",SUMPRODUCT(POISSON({1,2,3,4,5},Modelo!$AA32,0),POISSON({0,1,2,3,4},Modelo!$Z32,1)))</f>
        <v/>
      </c>
    </row>
    <row r="33" ht="15" customHeight="1">
      <c r="A33" s="7">
        <f>Modelo!A33</f>
        <v/>
      </c>
      <c r="B33" s="7">
        <f>Modelo!B33</f>
        <v/>
      </c>
      <c r="C33" s="7">
        <f>Modelo!C33</f>
        <v/>
      </c>
      <c r="D33" s="7">
        <f>Modelo!D33</f>
        <v/>
      </c>
      <c r="E33" s="7">
        <f>Modelo!E33</f>
        <v/>
      </c>
      <c r="F33" s="13">
        <f>IF($K33="","",$K33/($K33+$L33+$M33))</f>
        <v/>
      </c>
      <c r="G33" s="13">
        <f>IF($K33="","",$L33/($K33+$L33+$M33))</f>
        <v/>
      </c>
      <c r="H33" s="13">
        <f>IF($K33="","",$M33/($K33+$L33+$M33))</f>
        <v/>
      </c>
      <c r="I33" s="7">
        <f>IF($K33="","",INT(Modelo!$Z33)&amp;"-"&amp;INT(Modelo!$AA33))</f>
        <v/>
      </c>
      <c r="J33" s="13">
        <f>IF($K33="","",POISSON(INT(Modelo!$Z33),Modelo!$Z33,0)*POISSON(INT(Modelo!$AA33),Modelo!$AA33,0))</f>
        <v/>
      </c>
      <c r="K33" s="13">
        <f>IF(OR(Modelo!$H33=1,Modelo!$Z33=""),"",SUMPRODUCT(POISSON({1,2,3,4,5},Modelo!$Z33,0),POISSON({0,1,2,3,4},Modelo!$AA33,1)))</f>
        <v/>
      </c>
      <c r="L33" s="13">
        <f>IF(OR(Modelo!$H33=1,Modelo!$Z33=""),"",SUMPRODUCT(POISSON({0,1,2,3,4,5},Modelo!$Z33,0),POISSON({0,1,2,3,4,5},Modelo!$AA33,0)))</f>
        <v/>
      </c>
      <c r="M33" s="13">
        <f>IF(OR(Modelo!$H33=1,Modelo!$Z33=""),"",SUMPRODUCT(POISSON({1,2,3,4,5},Modelo!$AA33,0),POISSON({0,1,2,3,4},Modelo!$Z33,1)))</f>
        <v/>
      </c>
    </row>
    <row r="34" ht="15" customHeight="1">
      <c r="A34" s="7">
        <f>Modelo!A34</f>
        <v/>
      </c>
      <c r="B34" s="7">
        <f>Modelo!B34</f>
        <v/>
      </c>
      <c r="C34" s="7">
        <f>Modelo!C34</f>
        <v/>
      </c>
      <c r="D34" s="7">
        <f>Modelo!D34</f>
        <v/>
      </c>
      <c r="E34" s="7">
        <f>Modelo!E34</f>
        <v/>
      </c>
      <c r="F34" s="13">
        <f>IF($K34="","",$K34/($K34+$L34+$M34))</f>
        <v/>
      </c>
      <c r="G34" s="13">
        <f>IF($K34="","",$L34/($K34+$L34+$M34))</f>
        <v/>
      </c>
      <c r="H34" s="13">
        <f>IF($K34="","",$M34/($K34+$L34+$M34))</f>
        <v/>
      </c>
      <c r="I34" s="7">
        <f>IF($K34="","",INT(Modelo!$Z34)&amp;"-"&amp;INT(Modelo!$AA34))</f>
        <v/>
      </c>
      <c r="J34" s="13">
        <f>IF($K34="","",POISSON(INT(Modelo!$Z34),Modelo!$Z34,0)*POISSON(INT(Modelo!$AA34),Modelo!$AA34,0))</f>
        <v/>
      </c>
      <c r="K34" s="13">
        <f>IF(OR(Modelo!$H34=1,Modelo!$Z34=""),"",SUMPRODUCT(POISSON({1,2,3,4,5},Modelo!$Z34,0),POISSON({0,1,2,3,4},Modelo!$AA34,1)))</f>
        <v/>
      </c>
      <c r="L34" s="13">
        <f>IF(OR(Modelo!$H34=1,Modelo!$Z34=""),"",SUMPRODUCT(POISSON({0,1,2,3,4,5},Modelo!$Z34,0),POISSON({0,1,2,3,4,5},Modelo!$AA34,0)))</f>
        <v/>
      </c>
      <c r="M34" s="13">
        <f>IF(OR(Modelo!$H34=1,Modelo!$Z34=""),"",SUMPRODUCT(POISSON({1,2,3,4,5},Modelo!$AA34,0),POISSON({0,1,2,3,4},Modelo!$Z34,1)))</f>
        <v/>
      </c>
    </row>
    <row r="35" ht="15" customHeight="1">
      <c r="A35" s="7">
        <f>Modelo!A35</f>
        <v/>
      </c>
      <c r="B35" s="7">
        <f>Modelo!B35</f>
        <v/>
      </c>
      <c r="C35" s="7">
        <f>Modelo!C35</f>
        <v/>
      </c>
      <c r="D35" s="7">
        <f>Modelo!D35</f>
        <v/>
      </c>
      <c r="E35" s="7">
        <f>Modelo!E35</f>
        <v/>
      </c>
      <c r="F35" s="13">
        <f>IF($K35="","",$K35/($K35+$L35+$M35))</f>
        <v/>
      </c>
      <c r="G35" s="13">
        <f>IF($K35="","",$L35/($K35+$L35+$M35))</f>
        <v/>
      </c>
      <c r="H35" s="13">
        <f>IF($K35="","",$M35/($K35+$L35+$M35))</f>
        <v/>
      </c>
      <c r="I35" s="7">
        <f>IF($K35="","",INT(Modelo!$Z35)&amp;"-"&amp;INT(Modelo!$AA35))</f>
        <v/>
      </c>
      <c r="J35" s="13">
        <f>IF($K35="","",POISSON(INT(Modelo!$Z35),Modelo!$Z35,0)*POISSON(INT(Modelo!$AA35),Modelo!$AA35,0))</f>
        <v/>
      </c>
      <c r="K35" s="13">
        <f>IF(OR(Modelo!$H35=1,Modelo!$Z35=""),"",SUMPRODUCT(POISSON({1,2,3,4,5},Modelo!$Z35,0),POISSON({0,1,2,3,4},Modelo!$AA35,1)))</f>
        <v/>
      </c>
      <c r="L35" s="13">
        <f>IF(OR(Modelo!$H35=1,Modelo!$Z35=""),"",SUMPRODUCT(POISSON({0,1,2,3,4,5},Modelo!$Z35,0),POISSON({0,1,2,3,4,5},Modelo!$AA35,0)))</f>
        <v/>
      </c>
      <c r="M35" s="13">
        <f>IF(OR(Modelo!$H35=1,Modelo!$Z35=""),"",SUMPRODUCT(POISSON({1,2,3,4,5},Modelo!$AA35,0),POISSON({0,1,2,3,4},Modelo!$Z35,1)))</f>
        <v/>
      </c>
    </row>
    <row r="36" ht="15" customHeight="1">
      <c r="A36" s="7">
        <f>Modelo!A36</f>
        <v/>
      </c>
      <c r="B36" s="7">
        <f>Modelo!B36</f>
        <v/>
      </c>
      <c r="C36" s="7">
        <f>Modelo!C36</f>
        <v/>
      </c>
      <c r="D36" s="7">
        <f>Modelo!D36</f>
        <v/>
      </c>
      <c r="E36" s="7">
        <f>Modelo!E36</f>
        <v/>
      </c>
      <c r="F36" s="13">
        <f>IF($K36="","",$K36/($K36+$L36+$M36))</f>
        <v/>
      </c>
      <c r="G36" s="13">
        <f>IF($K36="","",$L36/($K36+$L36+$M36))</f>
        <v/>
      </c>
      <c r="H36" s="13">
        <f>IF($K36="","",$M36/($K36+$L36+$M36))</f>
        <v/>
      </c>
      <c r="I36" s="7">
        <f>IF($K36="","",INT(Modelo!$Z36)&amp;"-"&amp;INT(Modelo!$AA36))</f>
        <v/>
      </c>
      <c r="J36" s="13">
        <f>IF($K36="","",POISSON(INT(Modelo!$Z36),Modelo!$Z36,0)*POISSON(INT(Modelo!$AA36),Modelo!$AA36,0))</f>
        <v/>
      </c>
      <c r="K36" s="13">
        <f>IF(OR(Modelo!$H36=1,Modelo!$Z36=""),"",SUMPRODUCT(POISSON({1,2,3,4,5},Modelo!$Z36,0),POISSON({0,1,2,3,4},Modelo!$AA36,1)))</f>
        <v/>
      </c>
      <c r="L36" s="13">
        <f>IF(OR(Modelo!$H36=1,Modelo!$Z36=""),"",SUMPRODUCT(POISSON({0,1,2,3,4,5},Modelo!$Z36,0),POISSON({0,1,2,3,4,5},Modelo!$AA36,0)))</f>
        <v/>
      </c>
      <c r="M36" s="13">
        <f>IF(OR(Modelo!$H36=1,Modelo!$Z36=""),"",SUMPRODUCT(POISSON({1,2,3,4,5},Modelo!$AA36,0),POISSON({0,1,2,3,4},Modelo!$Z36,1)))</f>
        <v/>
      </c>
    </row>
    <row r="37" ht="15" customHeight="1">
      <c r="A37" s="7">
        <f>Modelo!A37</f>
        <v/>
      </c>
      <c r="B37" s="7">
        <f>Modelo!B37</f>
        <v/>
      </c>
      <c r="C37" s="7">
        <f>Modelo!C37</f>
        <v/>
      </c>
      <c r="D37" s="7">
        <f>Modelo!D37</f>
        <v/>
      </c>
      <c r="E37" s="7">
        <f>Modelo!E37</f>
        <v/>
      </c>
      <c r="F37" s="13">
        <f>IF($K37="","",$K37/($K37+$L37+$M37))</f>
        <v/>
      </c>
      <c r="G37" s="13">
        <f>IF($K37="","",$L37/($K37+$L37+$M37))</f>
        <v/>
      </c>
      <c r="H37" s="13">
        <f>IF($K37="","",$M37/($K37+$L37+$M37))</f>
        <v/>
      </c>
      <c r="I37" s="7">
        <f>IF($K37="","",INT(Modelo!$Z37)&amp;"-"&amp;INT(Modelo!$AA37))</f>
        <v/>
      </c>
      <c r="J37" s="13">
        <f>IF($K37="","",POISSON(INT(Modelo!$Z37),Modelo!$Z37,0)*POISSON(INT(Modelo!$AA37),Modelo!$AA37,0))</f>
        <v/>
      </c>
      <c r="K37" s="13">
        <f>IF(OR(Modelo!$H37=1,Modelo!$Z37=""),"",SUMPRODUCT(POISSON({1,2,3,4,5},Modelo!$Z37,0),POISSON({0,1,2,3,4},Modelo!$AA37,1)))</f>
        <v/>
      </c>
      <c r="L37" s="13">
        <f>IF(OR(Modelo!$H37=1,Modelo!$Z37=""),"",SUMPRODUCT(POISSON({0,1,2,3,4,5},Modelo!$Z37,0),POISSON({0,1,2,3,4,5},Modelo!$AA37,0)))</f>
        <v/>
      </c>
      <c r="M37" s="13">
        <f>IF(OR(Modelo!$H37=1,Modelo!$Z37=""),"",SUMPRODUCT(POISSON({1,2,3,4,5},Modelo!$AA37,0),POISSON({0,1,2,3,4},Modelo!$Z37,1)))</f>
        <v/>
      </c>
    </row>
    <row r="38" ht="15" customHeight="1">
      <c r="A38" s="7">
        <f>Modelo!A38</f>
        <v/>
      </c>
      <c r="B38" s="7">
        <f>Modelo!B38</f>
        <v/>
      </c>
      <c r="C38" s="7">
        <f>Modelo!C38</f>
        <v/>
      </c>
      <c r="D38" s="7">
        <f>Modelo!D38</f>
        <v/>
      </c>
      <c r="E38" s="7">
        <f>Modelo!E38</f>
        <v/>
      </c>
      <c r="F38" s="13">
        <f>IF($K38="","",$K38/($K38+$L38+$M38))</f>
        <v/>
      </c>
      <c r="G38" s="13">
        <f>IF($K38="","",$L38/($K38+$L38+$M38))</f>
        <v/>
      </c>
      <c r="H38" s="13">
        <f>IF($K38="","",$M38/($K38+$L38+$M38))</f>
        <v/>
      </c>
      <c r="I38" s="7">
        <f>IF($K38="","",INT(Modelo!$Z38)&amp;"-"&amp;INT(Modelo!$AA38))</f>
        <v/>
      </c>
      <c r="J38" s="13">
        <f>IF($K38="","",POISSON(INT(Modelo!$Z38),Modelo!$Z38,0)*POISSON(INT(Modelo!$AA38),Modelo!$AA38,0))</f>
        <v/>
      </c>
      <c r="K38" s="13">
        <f>IF(OR(Modelo!$H38=1,Modelo!$Z38=""),"",SUMPRODUCT(POISSON({1,2,3,4,5},Modelo!$Z38,0),POISSON({0,1,2,3,4},Modelo!$AA38,1)))</f>
        <v/>
      </c>
      <c r="L38" s="13">
        <f>IF(OR(Modelo!$H38=1,Modelo!$Z38=""),"",SUMPRODUCT(POISSON({0,1,2,3,4,5},Modelo!$Z38,0),POISSON({0,1,2,3,4,5},Modelo!$AA38,0)))</f>
        <v/>
      </c>
      <c r="M38" s="13">
        <f>IF(OR(Modelo!$H38=1,Modelo!$Z38=""),"",SUMPRODUCT(POISSON({1,2,3,4,5},Modelo!$AA38,0),POISSON({0,1,2,3,4},Modelo!$Z38,1)))</f>
        <v/>
      </c>
    </row>
    <row r="39" ht="15" customHeight="1">
      <c r="A39" s="7">
        <f>Modelo!A39</f>
        <v/>
      </c>
      <c r="B39" s="7">
        <f>Modelo!B39</f>
        <v/>
      </c>
      <c r="C39" s="7">
        <f>Modelo!C39</f>
        <v/>
      </c>
      <c r="D39" s="7">
        <f>Modelo!D39</f>
        <v/>
      </c>
      <c r="E39" s="7">
        <f>Modelo!E39</f>
        <v/>
      </c>
      <c r="F39" s="13">
        <f>IF($K39="","",$K39/($K39+$L39+$M39))</f>
        <v/>
      </c>
      <c r="G39" s="13">
        <f>IF($K39="","",$L39/($K39+$L39+$M39))</f>
        <v/>
      </c>
      <c r="H39" s="13">
        <f>IF($K39="","",$M39/($K39+$L39+$M39))</f>
        <v/>
      </c>
      <c r="I39" s="7">
        <f>IF($K39="","",INT(Modelo!$Z39)&amp;"-"&amp;INT(Modelo!$AA39))</f>
        <v/>
      </c>
      <c r="J39" s="13">
        <f>IF($K39="","",POISSON(INT(Modelo!$Z39),Modelo!$Z39,0)*POISSON(INT(Modelo!$AA39),Modelo!$AA39,0))</f>
        <v/>
      </c>
      <c r="K39" s="13">
        <f>IF(OR(Modelo!$H39=1,Modelo!$Z39=""),"",SUMPRODUCT(POISSON({1,2,3,4,5},Modelo!$Z39,0),POISSON({0,1,2,3,4},Modelo!$AA39,1)))</f>
        <v/>
      </c>
      <c r="L39" s="13">
        <f>IF(OR(Modelo!$H39=1,Modelo!$Z39=""),"",SUMPRODUCT(POISSON({0,1,2,3,4,5},Modelo!$Z39,0),POISSON({0,1,2,3,4,5},Modelo!$AA39,0)))</f>
        <v/>
      </c>
      <c r="M39" s="13">
        <f>IF(OR(Modelo!$H39=1,Modelo!$Z39=""),"",SUMPRODUCT(POISSON({1,2,3,4,5},Modelo!$AA39,0),POISSON({0,1,2,3,4},Modelo!$Z39,1)))</f>
        <v/>
      </c>
    </row>
    <row r="40" ht="15" customHeight="1">
      <c r="A40" s="7">
        <f>Modelo!A40</f>
        <v/>
      </c>
      <c r="B40" s="7">
        <f>Modelo!B40</f>
        <v/>
      </c>
      <c r="C40" s="7">
        <f>Modelo!C40</f>
        <v/>
      </c>
      <c r="D40" s="7">
        <f>Modelo!D40</f>
        <v/>
      </c>
      <c r="E40" s="7">
        <f>Modelo!E40</f>
        <v/>
      </c>
      <c r="F40" s="13">
        <f>IF($K40="","",$K40/($K40+$L40+$M40))</f>
        <v/>
      </c>
      <c r="G40" s="13">
        <f>IF($K40="","",$L40/($K40+$L40+$M40))</f>
        <v/>
      </c>
      <c r="H40" s="13">
        <f>IF($K40="","",$M40/($K40+$L40+$M40))</f>
        <v/>
      </c>
      <c r="I40" s="7">
        <f>IF($K40="","",INT(Modelo!$Z40)&amp;"-"&amp;INT(Modelo!$AA40))</f>
        <v/>
      </c>
      <c r="J40" s="13">
        <f>IF($K40="","",POISSON(INT(Modelo!$Z40),Modelo!$Z40,0)*POISSON(INT(Modelo!$AA40),Modelo!$AA40,0))</f>
        <v/>
      </c>
      <c r="K40" s="13">
        <f>IF(OR(Modelo!$H40=1,Modelo!$Z40=""),"",SUMPRODUCT(POISSON({1,2,3,4,5},Modelo!$Z40,0),POISSON({0,1,2,3,4},Modelo!$AA40,1)))</f>
        <v/>
      </c>
      <c r="L40" s="13">
        <f>IF(OR(Modelo!$H40=1,Modelo!$Z40=""),"",SUMPRODUCT(POISSON({0,1,2,3,4,5},Modelo!$Z40,0),POISSON({0,1,2,3,4,5},Modelo!$AA40,0)))</f>
        <v/>
      </c>
      <c r="M40" s="13">
        <f>IF(OR(Modelo!$H40=1,Modelo!$Z40=""),"",SUMPRODUCT(POISSON({1,2,3,4,5},Modelo!$AA40,0),POISSON({0,1,2,3,4},Modelo!$Z40,1)))</f>
        <v/>
      </c>
    </row>
    <row r="41" ht="15" customHeight="1">
      <c r="A41" s="7">
        <f>Modelo!A41</f>
        <v/>
      </c>
      <c r="B41" s="7">
        <f>Modelo!B41</f>
        <v/>
      </c>
      <c r="C41" s="7">
        <f>Modelo!C41</f>
        <v/>
      </c>
      <c r="D41" s="7">
        <f>Modelo!D41</f>
        <v/>
      </c>
      <c r="E41" s="7">
        <f>Modelo!E41</f>
        <v/>
      </c>
      <c r="F41" s="13">
        <f>IF($K41="","",$K41/($K41+$L41+$M41))</f>
        <v/>
      </c>
      <c r="G41" s="13">
        <f>IF($K41="","",$L41/($K41+$L41+$M41))</f>
        <v/>
      </c>
      <c r="H41" s="13">
        <f>IF($K41="","",$M41/($K41+$L41+$M41))</f>
        <v/>
      </c>
      <c r="I41" s="7">
        <f>IF($K41="","",INT(Modelo!$Z41)&amp;"-"&amp;INT(Modelo!$AA41))</f>
        <v/>
      </c>
      <c r="J41" s="13">
        <f>IF($K41="","",POISSON(INT(Modelo!$Z41),Modelo!$Z41,0)*POISSON(INT(Modelo!$AA41),Modelo!$AA41,0))</f>
        <v/>
      </c>
      <c r="K41" s="13">
        <f>IF(OR(Modelo!$H41=1,Modelo!$Z41=""),"",SUMPRODUCT(POISSON({1,2,3,4,5},Modelo!$Z41,0),POISSON({0,1,2,3,4},Modelo!$AA41,1)))</f>
        <v/>
      </c>
      <c r="L41" s="13">
        <f>IF(OR(Modelo!$H41=1,Modelo!$Z41=""),"",SUMPRODUCT(POISSON({0,1,2,3,4,5},Modelo!$Z41,0),POISSON({0,1,2,3,4,5},Modelo!$AA41,0)))</f>
        <v/>
      </c>
      <c r="M41" s="13">
        <f>IF(OR(Modelo!$H41=1,Modelo!$Z41=""),"",SUMPRODUCT(POISSON({1,2,3,4,5},Modelo!$AA41,0),POISSON({0,1,2,3,4},Modelo!$Z41,1)))</f>
        <v/>
      </c>
    </row>
    <row r="42" ht="15" customHeight="1">
      <c r="A42" s="7">
        <f>Modelo!A42</f>
        <v/>
      </c>
      <c r="B42" s="7">
        <f>Modelo!B42</f>
        <v/>
      </c>
      <c r="C42" s="7">
        <f>Modelo!C42</f>
        <v/>
      </c>
      <c r="D42" s="7">
        <f>Modelo!D42</f>
        <v/>
      </c>
      <c r="E42" s="7">
        <f>Modelo!E42</f>
        <v/>
      </c>
      <c r="F42" s="13">
        <f>IF($K42="","",$K42/($K42+$L42+$M42))</f>
        <v/>
      </c>
      <c r="G42" s="13">
        <f>IF($K42="","",$L42/($K42+$L42+$M42))</f>
        <v/>
      </c>
      <c r="H42" s="13">
        <f>IF($K42="","",$M42/($K42+$L42+$M42))</f>
        <v/>
      </c>
      <c r="I42" s="7">
        <f>IF($K42="","",INT(Modelo!$Z42)&amp;"-"&amp;INT(Modelo!$AA42))</f>
        <v/>
      </c>
      <c r="J42" s="13">
        <f>IF($K42="","",POISSON(INT(Modelo!$Z42),Modelo!$Z42,0)*POISSON(INT(Modelo!$AA42),Modelo!$AA42,0))</f>
        <v/>
      </c>
      <c r="K42" s="13">
        <f>IF(OR(Modelo!$H42=1,Modelo!$Z42=""),"",SUMPRODUCT(POISSON({1,2,3,4,5},Modelo!$Z42,0),POISSON({0,1,2,3,4},Modelo!$AA42,1)))</f>
        <v/>
      </c>
      <c r="L42" s="13">
        <f>IF(OR(Modelo!$H42=1,Modelo!$Z42=""),"",SUMPRODUCT(POISSON({0,1,2,3,4,5},Modelo!$Z42,0),POISSON({0,1,2,3,4,5},Modelo!$AA42,0)))</f>
        <v/>
      </c>
      <c r="M42" s="13">
        <f>IF(OR(Modelo!$H42=1,Modelo!$Z42=""),"",SUMPRODUCT(POISSON({1,2,3,4,5},Modelo!$AA42,0),POISSON({0,1,2,3,4},Modelo!$Z42,1)))</f>
        <v/>
      </c>
    </row>
    <row r="43" ht="15" customHeight="1">
      <c r="A43" s="7">
        <f>Modelo!A43</f>
        <v/>
      </c>
      <c r="B43" s="7">
        <f>Modelo!B43</f>
        <v/>
      </c>
      <c r="C43" s="7">
        <f>Modelo!C43</f>
        <v/>
      </c>
      <c r="D43" s="7">
        <f>Modelo!D43</f>
        <v/>
      </c>
      <c r="E43" s="7">
        <f>Modelo!E43</f>
        <v/>
      </c>
      <c r="F43" s="13">
        <f>IF($K43="","",$K43/($K43+$L43+$M43))</f>
        <v/>
      </c>
      <c r="G43" s="13">
        <f>IF($K43="","",$L43/($K43+$L43+$M43))</f>
        <v/>
      </c>
      <c r="H43" s="13">
        <f>IF($K43="","",$M43/($K43+$L43+$M43))</f>
        <v/>
      </c>
      <c r="I43" s="7">
        <f>IF($K43="","",INT(Modelo!$Z43)&amp;"-"&amp;INT(Modelo!$AA43))</f>
        <v/>
      </c>
      <c r="J43" s="13">
        <f>IF($K43="","",POISSON(INT(Modelo!$Z43),Modelo!$Z43,0)*POISSON(INT(Modelo!$AA43),Modelo!$AA43,0))</f>
        <v/>
      </c>
      <c r="K43" s="13">
        <f>IF(OR(Modelo!$H43=1,Modelo!$Z43=""),"",SUMPRODUCT(POISSON({1,2,3,4,5},Modelo!$Z43,0),POISSON({0,1,2,3,4},Modelo!$AA43,1)))</f>
        <v/>
      </c>
      <c r="L43" s="13">
        <f>IF(OR(Modelo!$H43=1,Modelo!$Z43=""),"",SUMPRODUCT(POISSON({0,1,2,3,4,5},Modelo!$Z43,0),POISSON({0,1,2,3,4,5},Modelo!$AA43,0)))</f>
        <v/>
      </c>
      <c r="M43" s="13">
        <f>IF(OR(Modelo!$H43=1,Modelo!$Z43=""),"",SUMPRODUCT(POISSON({1,2,3,4,5},Modelo!$AA43,0),POISSON({0,1,2,3,4},Modelo!$Z43,1)))</f>
        <v/>
      </c>
    </row>
    <row r="44" ht="15" customHeight="1">
      <c r="A44" s="7">
        <f>Modelo!A44</f>
        <v/>
      </c>
      <c r="B44" s="7">
        <f>Modelo!B44</f>
        <v/>
      </c>
      <c r="C44" s="7">
        <f>Modelo!C44</f>
        <v/>
      </c>
      <c r="D44" s="7">
        <f>Modelo!D44</f>
        <v/>
      </c>
      <c r="E44" s="7">
        <f>Modelo!E44</f>
        <v/>
      </c>
      <c r="F44" s="13">
        <f>IF($K44="","",$K44/($K44+$L44+$M44))</f>
        <v/>
      </c>
      <c r="G44" s="13">
        <f>IF($K44="","",$L44/($K44+$L44+$M44))</f>
        <v/>
      </c>
      <c r="H44" s="13">
        <f>IF($K44="","",$M44/($K44+$L44+$M44))</f>
        <v/>
      </c>
      <c r="I44" s="7">
        <f>IF($K44="","",INT(Modelo!$Z44)&amp;"-"&amp;INT(Modelo!$AA44))</f>
        <v/>
      </c>
      <c r="J44" s="13">
        <f>IF($K44="","",POISSON(INT(Modelo!$Z44),Modelo!$Z44,0)*POISSON(INT(Modelo!$AA44),Modelo!$AA44,0))</f>
        <v/>
      </c>
      <c r="K44" s="13">
        <f>IF(OR(Modelo!$H44=1,Modelo!$Z44=""),"",SUMPRODUCT(POISSON({1,2,3,4,5},Modelo!$Z44,0),POISSON({0,1,2,3,4},Modelo!$AA44,1)))</f>
        <v/>
      </c>
      <c r="L44" s="13">
        <f>IF(OR(Modelo!$H44=1,Modelo!$Z44=""),"",SUMPRODUCT(POISSON({0,1,2,3,4,5},Modelo!$Z44,0),POISSON({0,1,2,3,4,5},Modelo!$AA44,0)))</f>
        <v/>
      </c>
      <c r="M44" s="13">
        <f>IF(OR(Modelo!$H44=1,Modelo!$Z44=""),"",SUMPRODUCT(POISSON({1,2,3,4,5},Modelo!$AA44,0),POISSON({0,1,2,3,4},Modelo!$Z44,1)))</f>
        <v/>
      </c>
    </row>
    <row r="45" ht="15" customHeight="1">
      <c r="A45" s="7">
        <f>Modelo!A45</f>
        <v/>
      </c>
      <c r="B45" s="7">
        <f>Modelo!B45</f>
        <v/>
      </c>
      <c r="C45" s="7">
        <f>Modelo!C45</f>
        <v/>
      </c>
      <c r="D45" s="7">
        <f>Modelo!D45</f>
        <v/>
      </c>
      <c r="E45" s="7">
        <f>Modelo!E45</f>
        <v/>
      </c>
      <c r="F45" s="13">
        <f>IF($K45="","",$K45/($K45+$L45+$M45))</f>
        <v/>
      </c>
      <c r="G45" s="13">
        <f>IF($K45="","",$L45/($K45+$L45+$M45))</f>
        <v/>
      </c>
      <c r="H45" s="13">
        <f>IF($K45="","",$M45/($K45+$L45+$M45))</f>
        <v/>
      </c>
      <c r="I45" s="7">
        <f>IF($K45="","",INT(Modelo!$Z45)&amp;"-"&amp;INT(Modelo!$AA45))</f>
        <v/>
      </c>
      <c r="J45" s="13">
        <f>IF($K45="","",POISSON(INT(Modelo!$Z45),Modelo!$Z45,0)*POISSON(INT(Modelo!$AA45),Modelo!$AA45,0))</f>
        <v/>
      </c>
      <c r="K45" s="13">
        <f>IF(OR(Modelo!$H45=1,Modelo!$Z45=""),"",SUMPRODUCT(POISSON({1,2,3,4,5},Modelo!$Z45,0),POISSON({0,1,2,3,4},Modelo!$AA45,1)))</f>
        <v/>
      </c>
      <c r="L45" s="13">
        <f>IF(OR(Modelo!$H45=1,Modelo!$Z45=""),"",SUMPRODUCT(POISSON({0,1,2,3,4,5},Modelo!$Z45,0),POISSON({0,1,2,3,4,5},Modelo!$AA45,0)))</f>
        <v/>
      </c>
      <c r="M45" s="13">
        <f>IF(OR(Modelo!$H45=1,Modelo!$Z45=""),"",SUMPRODUCT(POISSON({1,2,3,4,5},Modelo!$AA45,0),POISSON({0,1,2,3,4},Modelo!$Z45,1)))</f>
        <v/>
      </c>
    </row>
    <row r="46" ht="15" customHeight="1">
      <c r="A46" s="7">
        <f>Modelo!A46</f>
        <v/>
      </c>
      <c r="B46" s="7">
        <f>Modelo!B46</f>
        <v/>
      </c>
      <c r="C46" s="7">
        <f>Modelo!C46</f>
        <v/>
      </c>
      <c r="D46" s="7">
        <f>Modelo!D46</f>
        <v/>
      </c>
      <c r="E46" s="7">
        <f>Modelo!E46</f>
        <v/>
      </c>
      <c r="F46" s="13">
        <f>IF($K46="","",$K46/($K46+$L46+$M46))</f>
        <v/>
      </c>
      <c r="G46" s="13">
        <f>IF($K46="","",$L46/($K46+$L46+$M46))</f>
        <v/>
      </c>
      <c r="H46" s="13">
        <f>IF($K46="","",$M46/($K46+$L46+$M46))</f>
        <v/>
      </c>
      <c r="I46" s="7">
        <f>IF($K46="","",INT(Modelo!$Z46)&amp;"-"&amp;INT(Modelo!$AA46))</f>
        <v/>
      </c>
      <c r="J46" s="13">
        <f>IF($K46="","",POISSON(INT(Modelo!$Z46),Modelo!$Z46,0)*POISSON(INT(Modelo!$AA46),Modelo!$AA46,0))</f>
        <v/>
      </c>
      <c r="K46" s="13">
        <f>IF(OR(Modelo!$H46=1,Modelo!$Z46=""),"",SUMPRODUCT(POISSON({1,2,3,4,5},Modelo!$Z46,0),POISSON({0,1,2,3,4},Modelo!$AA46,1)))</f>
        <v/>
      </c>
      <c r="L46" s="13">
        <f>IF(OR(Modelo!$H46=1,Modelo!$Z46=""),"",SUMPRODUCT(POISSON({0,1,2,3,4,5},Modelo!$Z46,0),POISSON({0,1,2,3,4,5},Modelo!$AA46,0)))</f>
        <v/>
      </c>
      <c r="M46" s="13">
        <f>IF(OR(Modelo!$H46=1,Modelo!$Z46=""),"",SUMPRODUCT(POISSON({1,2,3,4,5},Modelo!$AA46,0),POISSON({0,1,2,3,4},Modelo!$Z46,1)))</f>
        <v/>
      </c>
    </row>
    <row r="47" ht="15" customHeight="1">
      <c r="A47" s="7">
        <f>Modelo!A47</f>
        <v/>
      </c>
      <c r="B47" s="7">
        <f>Modelo!B47</f>
        <v/>
      </c>
      <c r="C47" s="7">
        <f>Modelo!C47</f>
        <v/>
      </c>
      <c r="D47" s="7">
        <f>Modelo!D47</f>
        <v/>
      </c>
      <c r="E47" s="7">
        <f>Modelo!E47</f>
        <v/>
      </c>
      <c r="F47" s="13">
        <f>IF($K47="","",$K47/($K47+$L47+$M47))</f>
        <v/>
      </c>
      <c r="G47" s="13">
        <f>IF($K47="","",$L47/($K47+$L47+$M47))</f>
        <v/>
      </c>
      <c r="H47" s="13">
        <f>IF($K47="","",$M47/($K47+$L47+$M47))</f>
        <v/>
      </c>
      <c r="I47" s="7">
        <f>IF($K47="","",INT(Modelo!$Z47)&amp;"-"&amp;INT(Modelo!$AA47))</f>
        <v/>
      </c>
      <c r="J47" s="13">
        <f>IF($K47="","",POISSON(INT(Modelo!$Z47),Modelo!$Z47,0)*POISSON(INT(Modelo!$AA47),Modelo!$AA47,0))</f>
        <v/>
      </c>
      <c r="K47" s="13">
        <f>IF(OR(Modelo!$H47=1,Modelo!$Z47=""),"",SUMPRODUCT(POISSON({1,2,3,4,5},Modelo!$Z47,0),POISSON({0,1,2,3,4},Modelo!$AA47,1)))</f>
        <v/>
      </c>
      <c r="L47" s="13">
        <f>IF(OR(Modelo!$H47=1,Modelo!$Z47=""),"",SUMPRODUCT(POISSON({0,1,2,3,4,5},Modelo!$Z47,0),POISSON({0,1,2,3,4,5},Modelo!$AA47,0)))</f>
        <v/>
      </c>
      <c r="M47" s="13">
        <f>IF(OR(Modelo!$H47=1,Modelo!$Z47=""),"",SUMPRODUCT(POISSON({1,2,3,4,5},Modelo!$AA47,0),POISSON({0,1,2,3,4},Modelo!$Z47,1)))</f>
        <v/>
      </c>
    </row>
    <row r="48" ht="15" customHeight="1">
      <c r="A48" s="7">
        <f>Modelo!A48</f>
        <v/>
      </c>
      <c r="B48" s="7">
        <f>Modelo!B48</f>
        <v/>
      </c>
      <c r="C48" s="7">
        <f>Modelo!C48</f>
        <v/>
      </c>
      <c r="D48" s="7">
        <f>Modelo!D48</f>
        <v/>
      </c>
      <c r="E48" s="7">
        <f>Modelo!E48</f>
        <v/>
      </c>
      <c r="F48" s="13">
        <f>IF($K48="","",$K48/($K48+$L48+$M48))</f>
        <v/>
      </c>
      <c r="G48" s="13">
        <f>IF($K48="","",$L48/($K48+$L48+$M48))</f>
        <v/>
      </c>
      <c r="H48" s="13">
        <f>IF($K48="","",$M48/($K48+$L48+$M48))</f>
        <v/>
      </c>
      <c r="I48" s="7">
        <f>IF($K48="","",INT(Modelo!$Z48)&amp;"-"&amp;INT(Modelo!$AA48))</f>
        <v/>
      </c>
      <c r="J48" s="13">
        <f>IF($K48="","",POISSON(INT(Modelo!$Z48),Modelo!$Z48,0)*POISSON(INT(Modelo!$AA48),Modelo!$AA48,0))</f>
        <v/>
      </c>
      <c r="K48" s="13">
        <f>IF(OR(Modelo!$H48=1,Modelo!$Z48=""),"",SUMPRODUCT(POISSON({1,2,3,4,5},Modelo!$Z48,0),POISSON({0,1,2,3,4},Modelo!$AA48,1)))</f>
        <v/>
      </c>
      <c r="L48" s="13">
        <f>IF(OR(Modelo!$H48=1,Modelo!$Z48=""),"",SUMPRODUCT(POISSON({0,1,2,3,4,5},Modelo!$Z48,0),POISSON({0,1,2,3,4,5},Modelo!$AA48,0)))</f>
        <v/>
      </c>
      <c r="M48" s="13">
        <f>IF(OR(Modelo!$H48=1,Modelo!$Z48=""),"",SUMPRODUCT(POISSON({1,2,3,4,5},Modelo!$AA48,0),POISSON({0,1,2,3,4},Modelo!$Z48,1)))</f>
        <v/>
      </c>
    </row>
    <row r="49" ht="15" customHeight="1">
      <c r="A49" s="7">
        <f>Modelo!A49</f>
        <v/>
      </c>
      <c r="B49" s="7">
        <f>Modelo!B49</f>
        <v/>
      </c>
      <c r="C49" s="7">
        <f>Modelo!C49</f>
        <v/>
      </c>
      <c r="D49" s="7">
        <f>Modelo!D49</f>
        <v/>
      </c>
      <c r="E49" s="7">
        <f>Modelo!E49</f>
        <v/>
      </c>
      <c r="F49" s="13">
        <f>IF($K49="","",$K49/($K49+$L49+$M49))</f>
        <v/>
      </c>
      <c r="G49" s="13">
        <f>IF($K49="","",$L49/($K49+$L49+$M49))</f>
        <v/>
      </c>
      <c r="H49" s="13">
        <f>IF($K49="","",$M49/($K49+$L49+$M49))</f>
        <v/>
      </c>
      <c r="I49" s="7">
        <f>IF($K49="","",INT(Modelo!$Z49)&amp;"-"&amp;INT(Modelo!$AA49))</f>
        <v/>
      </c>
      <c r="J49" s="13">
        <f>IF($K49="","",POISSON(INT(Modelo!$Z49),Modelo!$Z49,0)*POISSON(INT(Modelo!$AA49),Modelo!$AA49,0))</f>
        <v/>
      </c>
      <c r="K49" s="13">
        <f>IF(OR(Modelo!$H49=1,Modelo!$Z49=""),"",SUMPRODUCT(POISSON({1,2,3,4,5},Modelo!$Z49,0),POISSON({0,1,2,3,4},Modelo!$AA49,1)))</f>
        <v/>
      </c>
      <c r="L49" s="13">
        <f>IF(OR(Modelo!$H49=1,Modelo!$Z49=""),"",SUMPRODUCT(POISSON({0,1,2,3,4,5},Modelo!$Z49,0),POISSON({0,1,2,3,4,5},Modelo!$AA49,0)))</f>
        <v/>
      </c>
      <c r="M49" s="13">
        <f>IF(OR(Modelo!$H49=1,Modelo!$Z49=""),"",SUMPRODUCT(POISSON({1,2,3,4,5},Modelo!$AA49,0),POISSON({0,1,2,3,4},Modelo!$Z49,1)))</f>
        <v/>
      </c>
    </row>
    <row r="50" ht="15" customHeight="1">
      <c r="A50" s="7">
        <f>Modelo!A50</f>
        <v/>
      </c>
      <c r="B50" s="7">
        <f>Modelo!B50</f>
        <v/>
      </c>
      <c r="C50" s="7">
        <f>Modelo!C50</f>
        <v/>
      </c>
      <c r="D50" s="7">
        <f>Modelo!D50</f>
        <v/>
      </c>
      <c r="E50" s="7">
        <f>Modelo!E50</f>
        <v/>
      </c>
      <c r="F50" s="13">
        <f>IF($K50="","",$K50/($K50+$L50+$M50))</f>
        <v/>
      </c>
      <c r="G50" s="13">
        <f>IF($K50="","",$L50/($K50+$L50+$M50))</f>
        <v/>
      </c>
      <c r="H50" s="13">
        <f>IF($K50="","",$M50/($K50+$L50+$M50))</f>
        <v/>
      </c>
      <c r="I50" s="7">
        <f>IF($K50="","",INT(Modelo!$Z50)&amp;"-"&amp;INT(Modelo!$AA50))</f>
        <v/>
      </c>
      <c r="J50" s="13">
        <f>IF($K50="","",POISSON(INT(Modelo!$Z50),Modelo!$Z50,0)*POISSON(INT(Modelo!$AA50),Modelo!$AA50,0))</f>
        <v/>
      </c>
      <c r="K50" s="13">
        <f>IF(OR(Modelo!$H50=1,Modelo!$Z50=""),"",SUMPRODUCT(POISSON({1,2,3,4,5},Modelo!$Z50,0),POISSON({0,1,2,3,4},Modelo!$AA50,1)))</f>
        <v/>
      </c>
      <c r="L50" s="13">
        <f>IF(OR(Modelo!$H50=1,Modelo!$Z50=""),"",SUMPRODUCT(POISSON({0,1,2,3,4,5},Modelo!$Z50,0),POISSON({0,1,2,3,4,5},Modelo!$AA50,0)))</f>
        <v/>
      </c>
      <c r="M50" s="13">
        <f>IF(OR(Modelo!$H50=1,Modelo!$Z50=""),"",SUMPRODUCT(POISSON({1,2,3,4,5},Modelo!$AA50,0),POISSON({0,1,2,3,4},Modelo!$Z50,1)))</f>
        <v/>
      </c>
    </row>
    <row r="51" ht="15" customHeight="1">
      <c r="A51" s="7">
        <f>Modelo!A51</f>
        <v/>
      </c>
      <c r="B51" s="7">
        <f>Modelo!B51</f>
        <v/>
      </c>
      <c r="C51" s="7">
        <f>Modelo!C51</f>
        <v/>
      </c>
      <c r="D51" s="7">
        <f>Modelo!D51</f>
        <v/>
      </c>
      <c r="E51" s="7">
        <f>Modelo!E51</f>
        <v/>
      </c>
      <c r="F51" s="13">
        <f>IF($K51="","",$K51/($K51+$L51+$M51))</f>
        <v/>
      </c>
      <c r="G51" s="13">
        <f>IF($K51="","",$L51/($K51+$L51+$M51))</f>
        <v/>
      </c>
      <c r="H51" s="13">
        <f>IF($K51="","",$M51/($K51+$L51+$M51))</f>
        <v/>
      </c>
      <c r="I51" s="7">
        <f>IF($K51="","",INT(Modelo!$Z51)&amp;"-"&amp;INT(Modelo!$AA51))</f>
        <v/>
      </c>
      <c r="J51" s="13">
        <f>IF($K51="","",POISSON(INT(Modelo!$Z51),Modelo!$Z51,0)*POISSON(INT(Modelo!$AA51),Modelo!$AA51,0))</f>
        <v/>
      </c>
      <c r="K51" s="13">
        <f>IF(OR(Modelo!$H51=1,Modelo!$Z51=""),"",SUMPRODUCT(POISSON({1,2,3,4,5},Modelo!$Z51,0),POISSON({0,1,2,3,4},Modelo!$AA51,1)))</f>
        <v/>
      </c>
      <c r="L51" s="13">
        <f>IF(OR(Modelo!$H51=1,Modelo!$Z51=""),"",SUMPRODUCT(POISSON({0,1,2,3,4,5},Modelo!$Z51,0),POISSON({0,1,2,3,4,5},Modelo!$AA51,0)))</f>
        <v/>
      </c>
      <c r="M51" s="13">
        <f>IF(OR(Modelo!$H51=1,Modelo!$Z51=""),"",SUMPRODUCT(POISSON({1,2,3,4,5},Modelo!$AA51,0),POISSON({0,1,2,3,4},Modelo!$Z51,1)))</f>
        <v/>
      </c>
    </row>
    <row r="52" ht="15" customHeight="1">
      <c r="A52" s="7">
        <f>Modelo!A52</f>
        <v/>
      </c>
      <c r="B52" s="7">
        <f>Modelo!B52</f>
        <v/>
      </c>
      <c r="C52" s="7">
        <f>Modelo!C52</f>
        <v/>
      </c>
      <c r="D52" s="7">
        <f>Modelo!D52</f>
        <v/>
      </c>
      <c r="E52" s="7">
        <f>Modelo!E52</f>
        <v/>
      </c>
      <c r="F52" s="13">
        <f>IF($K52="","",$K52/($K52+$L52+$M52))</f>
        <v/>
      </c>
      <c r="G52" s="13">
        <f>IF($K52="","",$L52/($K52+$L52+$M52))</f>
        <v/>
      </c>
      <c r="H52" s="13">
        <f>IF($K52="","",$M52/($K52+$L52+$M52))</f>
        <v/>
      </c>
      <c r="I52" s="7">
        <f>IF($K52="","",INT(Modelo!$Z52)&amp;"-"&amp;INT(Modelo!$AA52))</f>
        <v/>
      </c>
      <c r="J52" s="13">
        <f>IF($K52="","",POISSON(INT(Modelo!$Z52),Modelo!$Z52,0)*POISSON(INT(Modelo!$AA52),Modelo!$AA52,0))</f>
        <v/>
      </c>
      <c r="K52" s="13">
        <f>IF(OR(Modelo!$H52=1,Modelo!$Z52=""),"",SUMPRODUCT(POISSON({1,2,3,4,5},Modelo!$Z52,0),POISSON({0,1,2,3,4},Modelo!$AA52,1)))</f>
        <v/>
      </c>
      <c r="L52" s="13">
        <f>IF(OR(Modelo!$H52=1,Modelo!$Z52=""),"",SUMPRODUCT(POISSON({0,1,2,3,4,5},Modelo!$Z52,0),POISSON({0,1,2,3,4,5},Modelo!$AA52,0)))</f>
        <v/>
      </c>
      <c r="M52" s="13">
        <f>IF(OR(Modelo!$H52=1,Modelo!$Z52=""),"",SUMPRODUCT(POISSON({1,2,3,4,5},Modelo!$AA52,0),POISSON({0,1,2,3,4},Modelo!$Z52,1)))</f>
        <v/>
      </c>
    </row>
    <row r="53" ht="15" customHeight="1">
      <c r="A53" s="7">
        <f>Modelo!A53</f>
        <v/>
      </c>
      <c r="B53" s="7">
        <f>Modelo!B53</f>
        <v/>
      </c>
      <c r="C53" s="7">
        <f>Modelo!C53</f>
        <v/>
      </c>
      <c r="D53" s="7">
        <f>Modelo!D53</f>
        <v/>
      </c>
      <c r="E53" s="7">
        <f>Modelo!E53</f>
        <v/>
      </c>
      <c r="F53" s="13">
        <f>IF($K53="","",$K53/($K53+$L53+$M53))</f>
        <v/>
      </c>
      <c r="G53" s="13">
        <f>IF($K53="","",$L53/($K53+$L53+$M53))</f>
        <v/>
      </c>
      <c r="H53" s="13">
        <f>IF($K53="","",$M53/($K53+$L53+$M53))</f>
        <v/>
      </c>
      <c r="I53" s="7">
        <f>IF($K53="","",INT(Modelo!$Z53)&amp;"-"&amp;INT(Modelo!$AA53))</f>
        <v/>
      </c>
      <c r="J53" s="13">
        <f>IF($K53="","",POISSON(INT(Modelo!$Z53),Modelo!$Z53,0)*POISSON(INT(Modelo!$AA53),Modelo!$AA53,0))</f>
        <v/>
      </c>
      <c r="K53" s="13">
        <f>IF(OR(Modelo!$H53=1,Modelo!$Z53=""),"",SUMPRODUCT(POISSON({1,2,3,4,5},Modelo!$Z53,0),POISSON({0,1,2,3,4},Modelo!$AA53,1)))</f>
        <v/>
      </c>
      <c r="L53" s="13">
        <f>IF(OR(Modelo!$H53=1,Modelo!$Z53=""),"",SUMPRODUCT(POISSON({0,1,2,3,4,5},Modelo!$Z53,0),POISSON({0,1,2,3,4,5},Modelo!$AA53,0)))</f>
        <v/>
      </c>
      <c r="M53" s="13">
        <f>IF(OR(Modelo!$H53=1,Modelo!$Z53=""),"",SUMPRODUCT(POISSON({1,2,3,4,5},Modelo!$AA53,0),POISSON({0,1,2,3,4},Modelo!$Z53,1)))</f>
        <v/>
      </c>
    </row>
    <row r="54" ht="15" customHeight="1">
      <c r="A54" s="7">
        <f>Modelo!A54</f>
        <v/>
      </c>
      <c r="B54" s="7">
        <f>Modelo!B54</f>
        <v/>
      </c>
      <c r="C54" s="7">
        <f>Modelo!C54</f>
        <v/>
      </c>
      <c r="D54" s="7">
        <f>Modelo!D54</f>
        <v/>
      </c>
      <c r="E54" s="7">
        <f>Modelo!E54</f>
        <v/>
      </c>
      <c r="F54" s="13">
        <f>IF($K54="","",$K54/($K54+$L54+$M54))</f>
        <v/>
      </c>
      <c r="G54" s="13">
        <f>IF($K54="","",$L54/($K54+$L54+$M54))</f>
        <v/>
      </c>
      <c r="H54" s="13">
        <f>IF($K54="","",$M54/($K54+$L54+$M54))</f>
        <v/>
      </c>
      <c r="I54" s="7">
        <f>IF($K54="","",INT(Modelo!$Z54)&amp;"-"&amp;INT(Modelo!$AA54))</f>
        <v/>
      </c>
      <c r="J54" s="13">
        <f>IF($K54="","",POISSON(INT(Modelo!$Z54),Modelo!$Z54,0)*POISSON(INT(Modelo!$AA54),Modelo!$AA54,0))</f>
        <v/>
      </c>
      <c r="K54" s="13">
        <f>IF(OR(Modelo!$H54=1,Modelo!$Z54=""),"",SUMPRODUCT(POISSON({1,2,3,4,5},Modelo!$Z54,0),POISSON({0,1,2,3,4},Modelo!$AA54,1)))</f>
        <v/>
      </c>
      <c r="L54" s="13">
        <f>IF(OR(Modelo!$H54=1,Modelo!$Z54=""),"",SUMPRODUCT(POISSON({0,1,2,3,4,5},Modelo!$Z54,0),POISSON({0,1,2,3,4,5},Modelo!$AA54,0)))</f>
        <v/>
      </c>
      <c r="M54" s="13">
        <f>IF(OR(Modelo!$H54=1,Modelo!$Z54=""),"",SUMPRODUCT(POISSON({1,2,3,4,5},Modelo!$AA54,0),POISSON({0,1,2,3,4},Modelo!$Z54,1)))</f>
        <v/>
      </c>
    </row>
    <row r="55" ht="15" customHeight="1">
      <c r="A55" s="7">
        <f>Modelo!A55</f>
        <v/>
      </c>
      <c r="B55" s="7">
        <f>Modelo!B55</f>
        <v/>
      </c>
      <c r="C55" s="7">
        <f>Modelo!C55</f>
        <v/>
      </c>
      <c r="D55" s="7">
        <f>Modelo!D55</f>
        <v/>
      </c>
      <c r="E55" s="7">
        <f>Modelo!E55</f>
        <v/>
      </c>
      <c r="F55" s="13">
        <f>IF($K55="","",$K55/($K55+$L55+$M55))</f>
        <v/>
      </c>
      <c r="G55" s="13">
        <f>IF($K55="","",$L55/($K55+$L55+$M55))</f>
        <v/>
      </c>
      <c r="H55" s="13">
        <f>IF($K55="","",$M55/($K55+$L55+$M55))</f>
        <v/>
      </c>
      <c r="I55" s="7">
        <f>IF($K55="","",INT(Modelo!$Z55)&amp;"-"&amp;INT(Modelo!$AA55))</f>
        <v/>
      </c>
      <c r="J55" s="13">
        <f>IF($K55="","",POISSON(INT(Modelo!$Z55),Modelo!$Z55,0)*POISSON(INT(Modelo!$AA55),Modelo!$AA55,0))</f>
        <v/>
      </c>
      <c r="K55" s="13">
        <f>IF(OR(Modelo!$H55=1,Modelo!$Z55=""),"",SUMPRODUCT(POISSON({1,2,3,4,5},Modelo!$Z55,0),POISSON({0,1,2,3,4},Modelo!$AA55,1)))</f>
        <v/>
      </c>
      <c r="L55" s="13">
        <f>IF(OR(Modelo!$H55=1,Modelo!$Z55=""),"",SUMPRODUCT(POISSON({0,1,2,3,4,5},Modelo!$Z55,0),POISSON({0,1,2,3,4,5},Modelo!$AA55,0)))</f>
        <v/>
      </c>
      <c r="M55" s="13">
        <f>IF(OR(Modelo!$H55=1,Modelo!$Z55=""),"",SUMPRODUCT(POISSON({1,2,3,4,5},Modelo!$AA55,0),POISSON({0,1,2,3,4},Modelo!$Z55,1)))</f>
        <v/>
      </c>
    </row>
    <row r="56" ht="15" customHeight="1">
      <c r="A56" s="7">
        <f>Modelo!A56</f>
        <v/>
      </c>
      <c r="B56" s="7">
        <f>Modelo!B56</f>
        <v/>
      </c>
      <c r="C56" s="7">
        <f>Modelo!C56</f>
        <v/>
      </c>
      <c r="D56" s="7">
        <f>Modelo!D56</f>
        <v/>
      </c>
      <c r="E56" s="7">
        <f>Modelo!E56</f>
        <v/>
      </c>
      <c r="F56" s="13">
        <f>IF($K56="","",$K56/($K56+$L56+$M56))</f>
        <v/>
      </c>
      <c r="G56" s="13">
        <f>IF($K56="","",$L56/($K56+$L56+$M56))</f>
        <v/>
      </c>
      <c r="H56" s="13">
        <f>IF($K56="","",$M56/($K56+$L56+$M56))</f>
        <v/>
      </c>
      <c r="I56" s="7">
        <f>IF($K56="","",INT(Modelo!$Z56)&amp;"-"&amp;INT(Modelo!$AA56))</f>
        <v/>
      </c>
      <c r="J56" s="13">
        <f>IF($K56="","",POISSON(INT(Modelo!$Z56),Modelo!$Z56,0)*POISSON(INT(Modelo!$AA56),Modelo!$AA56,0))</f>
        <v/>
      </c>
      <c r="K56" s="13">
        <f>IF(OR(Modelo!$H56=1,Modelo!$Z56=""),"",SUMPRODUCT(POISSON({1,2,3,4,5},Modelo!$Z56,0),POISSON({0,1,2,3,4},Modelo!$AA56,1)))</f>
        <v/>
      </c>
      <c r="L56" s="13">
        <f>IF(OR(Modelo!$H56=1,Modelo!$Z56=""),"",SUMPRODUCT(POISSON({0,1,2,3,4,5},Modelo!$Z56,0),POISSON({0,1,2,3,4,5},Modelo!$AA56,0)))</f>
        <v/>
      </c>
      <c r="M56" s="13">
        <f>IF(OR(Modelo!$H56=1,Modelo!$Z56=""),"",SUMPRODUCT(POISSON({1,2,3,4,5},Modelo!$AA56,0),POISSON({0,1,2,3,4},Modelo!$Z56,1)))</f>
        <v/>
      </c>
    </row>
    <row r="57" ht="15" customHeight="1">
      <c r="A57" s="7">
        <f>Modelo!A57</f>
        <v/>
      </c>
      <c r="B57" s="7">
        <f>Modelo!B57</f>
        <v/>
      </c>
      <c r="C57" s="7">
        <f>Modelo!C57</f>
        <v/>
      </c>
      <c r="D57" s="7">
        <f>Modelo!D57</f>
        <v/>
      </c>
      <c r="E57" s="7">
        <f>Modelo!E57</f>
        <v/>
      </c>
      <c r="F57" s="13">
        <f>IF($K57="","",$K57/($K57+$L57+$M57))</f>
        <v/>
      </c>
      <c r="G57" s="13">
        <f>IF($K57="","",$L57/($K57+$L57+$M57))</f>
        <v/>
      </c>
      <c r="H57" s="13">
        <f>IF($K57="","",$M57/($K57+$L57+$M57))</f>
        <v/>
      </c>
      <c r="I57" s="7">
        <f>IF($K57="","",INT(Modelo!$Z57)&amp;"-"&amp;INT(Modelo!$AA57))</f>
        <v/>
      </c>
      <c r="J57" s="13">
        <f>IF($K57="","",POISSON(INT(Modelo!$Z57),Modelo!$Z57,0)*POISSON(INT(Modelo!$AA57),Modelo!$AA57,0))</f>
        <v/>
      </c>
      <c r="K57" s="13">
        <f>IF(OR(Modelo!$H57=1,Modelo!$Z57=""),"",SUMPRODUCT(POISSON({1,2,3,4,5},Modelo!$Z57,0),POISSON({0,1,2,3,4},Modelo!$AA57,1)))</f>
        <v/>
      </c>
      <c r="L57" s="13">
        <f>IF(OR(Modelo!$H57=1,Modelo!$Z57=""),"",SUMPRODUCT(POISSON({0,1,2,3,4,5},Modelo!$Z57,0),POISSON({0,1,2,3,4,5},Modelo!$AA57,0)))</f>
        <v/>
      </c>
      <c r="M57" s="13">
        <f>IF(OR(Modelo!$H57=1,Modelo!$Z57=""),"",SUMPRODUCT(POISSON({1,2,3,4,5},Modelo!$AA57,0),POISSON({0,1,2,3,4},Modelo!$Z57,1)))</f>
        <v/>
      </c>
    </row>
    <row r="58" ht="15" customHeight="1">
      <c r="A58" s="7">
        <f>Modelo!A58</f>
        <v/>
      </c>
      <c r="B58" s="7">
        <f>Modelo!B58</f>
        <v/>
      </c>
      <c r="C58" s="7">
        <f>Modelo!C58</f>
        <v/>
      </c>
      <c r="D58" s="7">
        <f>Modelo!D58</f>
        <v/>
      </c>
      <c r="E58" s="7">
        <f>Modelo!E58</f>
        <v/>
      </c>
      <c r="F58" s="13">
        <f>IF($K58="","",$K58/($K58+$L58+$M58))</f>
        <v/>
      </c>
      <c r="G58" s="13">
        <f>IF($K58="","",$L58/($K58+$L58+$M58))</f>
        <v/>
      </c>
      <c r="H58" s="13">
        <f>IF($K58="","",$M58/($K58+$L58+$M58))</f>
        <v/>
      </c>
      <c r="I58" s="7">
        <f>IF($K58="","",INT(Modelo!$Z58)&amp;"-"&amp;INT(Modelo!$AA58))</f>
        <v/>
      </c>
      <c r="J58" s="13">
        <f>IF($K58="","",POISSON(INT(Modelo!$Z58),Modelo!$Z58,0)*POISSON(INT(Modelo!$AA58),Modelo!$AA58,0))</f>
        <v/>
      </c>
      <c r="K58" s="13">
        <f>IF(OR(Modelo!$H58=1,Modelo!$Z58=""),"",SUMPRODUCT(POISSON({1,2,3,4,5},Modelo!$Z58,0),POISSON({0,1,2,3,4},Modelo!$AA58,1)))</f>
        <v/>
      </c>
      <c r="L58" s="13">
        <f>IF(OR(Modelo!$H58=1,Modelo!$Z58=""),"",SUMPRODUCT(POISSON({0,1,2,3,4,5},Modelo!$Z58,0),POISSON({0,1,2,3,4,5},Modelo!$AA58,0)))</f>
        <v/>
      </c>
      <c r="M58" s="13">
        <f>IF(OR(Modelo!$H58=1,Modelo!$Z58=""),"",SUMPRODUCT(POISSON({1,2,3,4,5},Modelo!$AA58,0),POISSON({0,1,2,3,4},Modelo!$Z58,1)))</f>
        <v/>
      </c>
    </row>
    <row r="59" ht="15" customHeight="1">
      <c r="A59" s="7">
        <f>Modelo!A59</f>
        <v/>
      </c>
      <c r="B59" s="7">
        <f>Modelo!B59</f>
        <v/>
      </c>
      <c r="C59" s="7">
        <f>Modelo!C59</f>
        <v/>
      </c>
      <c r="D59" s="7">
        <f>Modelo!D59</f>
        <v/>
      </c>
      <c r="E59" s="7">
        <f>Modelo!E59</f>
        <v/>
      </c>
      <c r="F59" s="13">
        <f>IF($K59="","",$K59/($K59+$L59+$M59))</f>
        <v/>
      </c>
      <c r="G59" s="13">
        <f>IF($K59="","",$L59/($K59+$L59+$M59))</f>
        <v/>
      </c>
      <c r="H59" s="13">
        <f>IF($K59="","",$M59/($K59+$L59+$M59))</f>
        <v/>
      </c>
      <c r="I59" s="7">
        <f>IF($K59="","",INT(Modelo!$Z59)&amp;"-"&amp;INT(Modelo!$AA59))</f>
        <v/>
      </c>
      <c r="J59" s="13">
        <f>IF($K59="","",POISSON(INT(Modelo!$Z59),Modelo!$Z59,0)*POISSON(INT(Modelo!$AA59),Modelo!$AA59,0))</f>
        <v/>
      </c>
      <c r="K59" s="13">
        <f>IF(OR(Modelo!$H59=1,Modelo!$Z59=""),"",SUMPRODUCT(POISSON({1,2,3,4,5},Modelo!$Z59,0),POISSON({0,1,2,3,4},Modelo!$AA59,1)))</f>
        <v/>
      </c>
      <c r="L59" s="13">
        <f>IF(OR(Modelo!$H59=1,Modelo!$Z59=""),"",SUMPRODUCT(POISSON({0,1,2,3,4,5},Modelo!$Z59,0),POISSON({0,1,2,3,4,5},Modelo!$AA59,0)))</f>
        <v/>
      </c>
      <c r="M59" s="13">
        <f>IF(OR(Modelo!$H59=1,Modelo!$Z59=""),"",SUMPRODUCT(POISSON({1,2,3,4,5},Modelo!$AA59,0),POISSON({0,1,2,3,4},Modelo!$Z59,1)))</f>
        <v/>
      </c>
    </row>
    <row r="60" ht="15" customHeight="1">
      <c r="A60" s="7">
        <f>Modelo!A60</f>
        <v/>
      </c>
      <c r="B60" s="7">
        <f>Modelo!B60</f>
        <v/>
      </c>
      <c r="C60" s="7">
        <f>Modelo!C60</f>
        <v/>
      </c>
      <c r="D60" s="7">
        <f>Modelo!D60</f>
        <v/>
      </c>
      <c r="E60" s="7">
        <f>Modelo!E60</f>
        <v/>
      </c>
      <c r="F60" s="13">
        <f>IF($K60="","",$K60/($K60+$L60+$M60))</f>
        <v/>
      </c>
      <c r="G60" s="13">
        <f>IF($K60="","",$L60/($K60+$L60+$M60))</f>
        <v/>
      </c>
      <c r="H60" s="13">
        <f>IF($K60="","",$M60/($K60+$L60+$M60))</f>
        <v/>
      </c>
      <c r="I60" s="7">
        <f>IF($K60="","",INT(Modelo!$Z60)&amp;"-"&amp;INT(Modelo!$AA60))</f>
        <v/>
      </c>
      <c r="J60" s="13">
        <f>IF($K60="","",POISSON(INT(Modelo!$Z60),Modelo!$Z60,0)*POISSON(INT(Modelo!$AA60),Modelo!$AA60,0))</f>
        <v/>
      </c>
      <c r="K60" s="13">
        <f>IF(OR(Modelo!$H60=1,Modelo!$Z60=""),"",SUMPRODUCT(POISSON({1,2,3,4,5},Modelo!$Z60,0),POISSON({0,1,2,3,4},Modelo!$AA60,1)))</f>
        <v/>
      </c>
      <c r="L60" s="13">
        <f>IF(OR(Modelo!$H60=1,Modelo!$Z60=""),"",SUMPRODUCT(POISSON({0,1,2,3,4,5},Modelo!$Z60,0),POISSON({0,1,2,3,4,5},Modelo!$AA60,0)))</f>
        <v/>
      </c>
      <c r="M60" s="13">
        <f>IF(OR(Modelo!$H60=1,Modelo!$Z60=""),"",SUMPRODUCT(POISSON({1,2,3,4,5},Modelo!$AA60,0),POISSON({0,1,2,3,4},Modelo!$Z60,1)))</f>
        <v/>
      </c>
    </row>
    <row r="61" ht="15" customHeight="1">
      <c r="A61" s="7">
        <f>Modelo!A61</f>
        <v/>
      </c>
      <c r="B61" s="7">
        <f>Modelo!B61</f>
        <v/>
      </c>
      <c r="C61" s="7">
        <f>Modelo!C61</f>
        <v/>
      </c>
      <c r="D61" s="7">
        <f>Modelo!D61</f>
        <v/>
      </c>
      <c r="E61" s="7">
        <f>Modelo!E61</f>
        <v/>
      </c>
      <c r="F61" s="13">
        <f>IF($K61="","",$K61/($K61+$L61+$M61))</f>
        <v/>
      </c>
      <c r="G61" s="13">
        <f>IF($K61="","",$L61/($K61+$L61+$M61))</f>
        <v/>
      </c>
      <c r="H61" s="13">
        <f>IF($K61="","",$M61/($K61+$L61+$M61))</f>
        <v/>
      </c>
      <c r="I61" s="7">
        <f>IF($K61="","",INT(Modelo!$Z61)&amp;"-"&amp;INT(Modelo!$AA61))</f>
        <v/>
      </c>
      <c r="J61" s="13">
        <f>IF($K61="","",POISSON(INT(Modelo!$Z61),Modelo!$Z61,0)*POISSON(INT(Modelo!$AA61),Modelo!$AA61,0))</f>
        <v/>
      </c>
      <c r="K61" s="13">
        <f>IF(OR(Modelo!$H61=1,Modelo!$Z61=""),"",SUMPRODUCT(POISSON({1,2,3,4,5},Modelo!$Z61,0),POISSON({0,1,2,3,4},Modelo!$AA61,1)))</f>
        <v/>
      </c>
      <c r="L61" s="13">
        <f>IF(OR(Modelo!$H61=1,Modelo!$Z61=""),"",SUMPRODUCT(POISSON({0,1,2,3,4,5},Modelo!$Z61,0),POISSON({0,1,2,3,4,5},Modelo!$AA61,0)))</f>
        <v/>
      </c>
      <c r="M61" s="13">
        <f>IF(OR(Modelo!$H61=1,Modelo!$Z61=""),"",SUMPRODUCT(POISSON({1,2,3,4,5},Modelo!$AA61,0),POISSON({0,1,2,3,4},Modelo!$Z61,1)))</f>
        <v/>
      </c>
    </row>
    <row r="62" ht="15" customHeight="1">
      <c r="A62" s="7">
        <f>Modelo!A62</f>
        <v/>
      </c>
      <c r="B62" s="7">
        <f>Modelo!B62</f>
        <v/>
      </c>
      <c r="C62" s="7">
        <f>Modelo!C62</f>
        <v/>
      </c>
      <c r="D62" s="7">
        <f>Modelo!D62</f>
        <v/>
      </c>
      <c r="E62" s="7">
        <f>Modelo!E62</f>
        <v/>
      </c>
      <c r="F62" s="13">
        <f>IF($K62="","",$K62/($K62+$L62+$M62))</f>
        <v/>
      </c>
      <c r="G62" s="13">
        <f>IF($K62="","",$L62/($K62+$L62+$M62))</f>
        <v/>
      </c>
      <c r="H62" s="13">
        <f>IF($K62="","",$M62/($K62+$L62+$M62))</f>
        <v/>
      </c>
      <c r="I62" s="7">
        <f>IF($K62="","",INT(Modelo!$Z62)&amp;"-"&amp;INT(Modelo!$AA62))</f>
        <v/>
      </c>
      <c r="J62" s="13">
        <f>IF($K62="","",POISSON(INT(Modelo!$Z62),Modelo!$Z62,0)*POISSON(INT(Modelo!$AA62),Modelo!$AA62,0))</f>
        <v/>
      </c>
      <c r="K62" s="13">
        <f>IF(OR(Modelo!$H62=1,Modelo!$Z62=""),"",SUMPRODUCT(POISSON({1,2,3,4,5},Modelo!$Z62,0),POISSON({0,1,2,3,4},Modelo!$AA62,1)))</f>
        <v/>
      </c>
      <c r="L62" s="13">
        <f>IF(OR(Modelo!$H62=1,Modelo!$Z62=""),"",SUMPRODUCT(POISSON({0,1,2,3,4,5},Modelo!$Z62,0),POISSON({0,1,2,3,4,5},Modelo!$AA62,0)))</f>
        <v/>
      </c>
      <c r="M62" s="13">
        <f>IF(OR(Modelo!$H62=1,Modelo!$Z62=""),"",SUMPRODUCT(POISSON({1,2,3,4,5},Modelo!$AA62,0),POISSON({0,1,2,3,4},Modelo!$Z62,1)))</f>
        <v/>
      </c>
    </row>
    <row r="63" ht="15" customHeight="1">
      <c r="A63" s="7">
        <f>Modelo!A63</f>
        <v/>
      </c>
      <c r="B63" s="7">
        <f>Modelo!B63</f>
        <v/>
      </c>
      <c r="C63" s="7">
        <f>Modelo!C63</f>
        <v/>
      </c>
      <c r="D63" s="7">
        <f>Modelo!D63</f>
        <v/>
      </c>
      <c r="E63" s="7">
        <f>Modelo!E63</f>
        <v/>
      </c>
      <c r="F63" s="13">
        <f>IF($K63="","",$K63/($K63+$L63+$M63))</f>
        <v/>
      </c>
      <c r="G63" s="13">
        <f>IF($K63="","",$L63/($K63+$L63+$M63))</f>
        <v/>
      </c>
      <c r="H63" s="13">
        <f>IF($K63="","",$M63/($K63+$L63+$M63))</f>
        <v/>
      </c>
      <c r="I63" s="7">
        <f>IF($K63="","",INT(Modelo!$Z63)&amp;"-"&amp;INT(Modelo!$AA63))</f>
        <v/>
      </c>
      <c r="J63" s="13">
        <f>IF($K63="","",POISSON(INT(Modelo!$Z63),Modelo!$Z63,0)*POISSON(INT(Modelo!$AA63),Modelo!$AA63,0))</f>
        <v/>
      </c>
      <c r="K63" s="13">
        <f>IF(OR(Modelo!$H63=1,Modelo!$Z63=""),"",SUMPRODUCT(POISSON({1,2,3,4,5},Modelo!$Z63,0),POISSON({0,1,2,3,4},Modelo!$AA63,1)))</f>
        <v/>
      </c>
      <c r="L63" s="13">
        <f>IF(OR(Modelo!$H63=1,Modelo!$Z63=""),"",SUMPRODUCT(POISSON({0,1,2,3,4,5},Modelo!$Z63,0),POISSON({0,1,2,3,4,5},Modelo!$AA63,0)))</f>
        <v/>
      </c>
      <c r="M63" s="13">
        <f>IF(OR(Modelo!$H63=1,Modelo!$Z63=""),"",SUMPRODUCT(POISSON({1,2,3,4,5},Modelo!$AA63,0),POISSON({0,1,2,3,4},Modelo!$Z63,1)))</f>
        <v/>
      </c>
    </row>
    <row r="64" ht="15" customHeight="1">
      <c r="A64" s="7">
        <f>Modelo!A64</f>
        <v/>
      </c>
      <c r="B64" s="7">
        <f>Modelo!B64</f>
        <v/>
      </c>
      <c r="C64" s="7">
        <f>Modelo!C64</f>
        <v/>
      </c>
      <c r="D64" s="7">
        <f>Modelo!D64</f>
        <v/>
      </c>
      <c r="E64" s="7">
        <f>Modelo!E64</f>
        <v/>
      </c>
      <c r="F64" s="13">
        <f>IF($K64="","",$K64/($K64+$L64+$M64))</f>
        <v/>
      </c>
      <c r="G64" s="13">
        <f>IF($K64="","",$L64/($K64+$L64+$M64))</f>
        <v/>
      </c>
      <c r="H64" s="13">
        <f>IF($K64="","",$M64/($K64+$L64+$M64))</f>
        <v/>
      </c>
      <c r="I64" s="7">
        <f>IF($K64="","",INT(Modelo!$Z64)&amp;"-"&amp;INT(Modelo!$AA64))</f>
        <v/>
      </c>
      <c r="J64" s="13">
        <f>IF($K64="","",POISSON(INT(Modelo!$Z64),Modelo!$Z64,0)*POISSON(INT(Modelo!$AA64),Modelo!$AA64,0))</f>
        <v/>
      </c>
      <c r="K64" s="13">
        <f>IF(OR(Modelo!$H64=1,Modelo!$Z64=""),"",SUMPRODUCT(POISSON({1,2,3,4,5},Modelo!$Z64,0),POISSON({0,1,2,3,4},Modelo!$AA64,1)))</f>
        <v/>
      </c>
      <c r="L64" s="13">
        <f>IF(OR(Modelo!$H64=1,Modelo!$Z64=""),"",SUMPRODUCT(POISSON({0,1,2,3,4,5},Modelo!$Z64,0),POISSON({0,1,2,3,4,5},Modelo!$AA64,0)))</f>
        <v/>
      </c>
      <c r="M64" s="13">
        <f>IF(OR(Modelo!$H64=1,Modelo!$Z64=""),"",SUMPRODUCT(POISSON({1,2,3,4,5},Modelo!$AA64,0),POISSON({0,1,2,3,4},Modelo!$Z64,1)))</f>
        <v/>
      </c>
    </row>
    <row r="65" ht="15" customHeight="1">
      <c r="A65" s="7">
        <f>Modelo!A65</f>
        <v/>
      </c>
      <c r="B65" s="7">
        <f>Modelo!B65</f>
        <v/>
      </c>
      <c r="C65" s="7">
        <f>Modelo!C65</f>
        <v/>
      </c>
      <c r="D65" s="7">
        <f>Modelo!D65</f>
        <v/>
      </c>
      <c r="E65" s="7">
        <f>Modelo!E65</f>
        <v/>
      </c>
      <c r="F65" s="13">
        <f>IF($K65="","",$K65/($K65+$L65+$M65))</f>
        <v/>
      </c>
      <c r="G65" s="13">
        <f>IF($K65="","",$L65/($K65+$L65+$M65))</f>
        <v/>
      </c>
      <c r="H65" s="13">
        <f>IF($K65="","",$M65/($K65+$L65+$M65))</f>
        <v/>
      </c>
      <c r="I65" s="7">
        <f>IF($K65="","",INT(Modelo!$Z65)&amp;"-"&amp;INT(Modelo!$AA65))</f>
        <v/>
      </c>
      <c r="J65" s="13">
        <f>IF($K65="","",POISSON(INT(Modelo!$Z65),Modelo!$Z65,0)*POISSON(INT(Modelo!$AA65),Modelo!$AA65,0))</f>
        <v/>
      </c>
      <c r="K65" s="13">
        <f>IF(OR(Modelo!$H65=1,Modelo!$Z65=""),"",SUMPRODUCT(POISSON({1,2,3,4,5},Modelo!$Z65,0),POISSON({0,1,2,3,4},Modelo!$AA65,1)))</f>
        <v/>
      </c>
      <c r="L65" s="13">
        <f>IF(OR(Modelo!$H65=1,Modelo!$Z65=""),"",SUMPRODUCT(POISSON({0,1,2,3,4,5},Modelo!$Z65,0),POISSON({0,1,2,3,4,5},Modelo!$AA65,0)))</f>
        <v/>
      </c>
      <c r="M65" s="13">
        <f>IF(OR(Modelo!$H65=1,Modelo!$Z65=""),"",SUMPRODUCT(POISSON({1,2,3,4,5},Modelo!$AA65,0),POISSON({0,1,2,3,4},Modelo!$Z65,1)))</f>
        <v/>
      </c>
    </row>
    <row r="66" ht="15" customHeight="1">
      <c r="A66" s="7">
        <f>Modelo!A66</f>
        <v/>
      </c>
      <c r="B66" s="7">
        <f>Modelo!B66</f>
        <v/>
      </c>
      <c r="C66" s="7">
        <f>Modelo!C66</f>
        <v/>
      </c>
      <c r="D66" s="7">
        <f>Modelo!D66</f>
        <v/>
      </c>
      <c r="E66" s="7">
        <f>Modelo!E66</f>
        <v/>
      </c>
      <c r="F66" s="13">
        <f>IF($K66="","",$K66/($K66+$L66+$M66))</f>
        <v/>
      </c>
      <c r="G66" s="13">
        <f>IF($K66="","",$L66/($K66+$L66+$M66))</f>
        <v/>
      </c>
      <c r="H66" s="13">
        <f>IF($K66="","",$M66/($K66+$L66+$M66))</f>
        <v/>
      </c>
      <c r="I66" s="7">
        <f>IF($K66="","",INT(Modelo!$Z66)&amp;"-"&amp;INT(Modelo!$AA66))</f>
        <v/>
      </c>
      <c r="J66" s="13">
        <f>IF($K66="","",POISSON(INT(Modelo!$Z66),Modelo!$Z66,0)*POISSON(INT(Modelo!$AA66),Modelo!$AA66,0))</f>
        <v/>
      </c>
      <c r="K66" s="13">
        <f>IF(OR(Modelo!$H66=1,Modelo!$Z66=""),"",SUMPRODUCT(POISSON({1,2,3,4,5},Modelo!$Z66,0),POISSON({0,1,2,3,4},Modelo!$AA66,1)))</f>
        <v/>
      </c>
      <c r="L66" s="13">
        <f>IF(OR(Modelo!$H66=1,Modelo!$Z66=""),"",SUMPRODUCT(POISSON({0,1,2,3,4,5},Modelo!$Z66,0),POISSON({0,1,2,3,4,5},Modelo!$AA66,0)))</f>
        <v/>
      </c>
      <c r="M66" s="13">
        <f>IF(OR(Modelo!$H66=1,Modelo!$Z66=""),"",SUMPRODUCT(POISSON({1,2,3,4,5},Modelo!$AA66,0),POISSON({0,1,2,3,4},Modelo!$Z66,1)))</f>
        <v/>
      </c>
    </row>
    <row r="67" ht="15" customHeight="1">
      <c r="A67" s="7">
        <f>Modelo!A67</f>
        <v/>
      </c>
      <c r="B67" s="7">
        <f>Modelo!B67</f>
        <v/>
      </c>
      <c r="C67" s="7">
        <f>Modelo!C67</f>
        <v/>
      </c>
      <c r="D67" s="7">
        <f>Modelo!D67</f>
        <v/>
      </c>
      <c r="E67" s="7">
        <f>Modelo!E67</f>
        <v/>
      </c>
      <c r="F67" s="13">
        <f>IF($K67="","",$K67/($K67+$L67+$M67))</f>
        <v/>
      </c>
      <c r="G67" s="13">
        <f>IF($K67="","",$L67/($K67+$L67+$M67))</f>
        <v/>
      </c>
      <c r="H67" s="13">
        <f>IF($K67="","",$M67/($K67+$L67+$M67))</f>
        <v/>
      </c>
      <c r="I67" s="7">
        <f>IF($K67="","",INT(Modelo!$Z67)&amp;"-"&amp;INT(Modelo!$AA67))</f>
        <v/>
      </c>
      <c r="J67" s="13">
        <f>IF($K67="","",POISSON(INT(Modelo!$Z67),Modelo!$Z67,0)*POISSON(INT(Modelo!$AA67),Modelo!$AA67,0))</f>
        <v/>
      </c>
      <c r="K67" s="13">
        <f>IF(OR(Modelo!$H67=1,Modelo!$Z67=""),"",SUMPRODUCT(POISSON({1,2,3,4,5},Modelo!$Z67,0),POISSON({0,1,2,3,4},Modelo!$AA67,1)))</f>
        <v/>
      </c>
      <c r="L67" s="13">
        <f>IF(OR(Modelo!$H67=1,Modelo!$Z67=""),"",SUMPRODUCT(POISSON({0,1,2,3,4,5},Modelo!$Z67,0),POISSON({0,1,2,3,4,5},Modelo!$AA67,0)))</f>
        <v/>
      </c>
      <c r="M67" s="13">
        <f>IF(OR(Modelo!$H67=1,Modelo!$Z67=""),"",SUMPRODUCT(POISSON({1,2,3,4,5},Modelo!$AA67,0),POISSON({0,1,2,3,4},Modelo!$Z67,1)))</f>
        <v/>
      </c>
    </row>
    <row r="68" ht="15" customHeight="1">
      <c r="A68" s="7">
        <f>Modelo!A68</f>
        <v/>
      </c>
      <c r="B68" s="7">
        <f>Modelo!B68</f>
        <v/>
      </c>
      <c r="C68" s="7">
        <f>Modelo!C68</f>
        <v/>
      </c>
      <c r="D68" s="7">
        <f>Modelo!D68</f>
        <v/>
      </c>
      <c r="E68" s="7">
        <f>Modelo!E68</f>
        <v/>
      </c>
      <c r="F68" s="13">
        <f>IF($K68="","",$K68/($K68+$L68+$M68))</f>
        <v/>
      </c>
      <c r="G68" s="13">
        <f>IF($K68="","",$L68/($K68+$L68+$M68))</f>
        <v/>
      </c>
      <c r="H68" s="13">
        <f>IF($K68="","",$M68/($K68+$L68+$M68))</f>
        <v/>
      </c>
      <c r="I68" s="7">
        <f>IF($K68="","",INT(Modelo!$Z68)&amp;"-"&amp;INT(Modelo!$AA68))</f>
        <v/>
      </c>
      <c r="J68" s="13">
        <f>IF($K68="","",POISSON(INT(Modelo!$Z68),Modelo!$Z68,0)*POISSON(INT(Modelo!$AA68),Modelo!$AA68,0))</f>
        <v/>
      </c>
      <c r="K68" s="13">
        <f>IF(OR(Modelo!$H68=1,Modelo!$Z68=""),"",SUMPRODUCT(POISSON({1,2,3,4,5},Modelo!$Z68,0),POISSON({0,1,2,3,4},Modelo!$AA68,1)))</f>
        <v/>
      </c>
      <c r="L68" s="13">
        <f>IF(OR(Modelo!$H68=1,Modelo!$Z68=""),"",SUMPRODUCT(POISSON({0,1,2,3,4,5},Modelo!$Z68,0),POISSON({0,1,2,3,4,5},Modelo!$AA68,0)))</f>
        <v/>
      </c>
      <c r="M68" s="13">
        <f>IF(OR(Modelo!$H68=1,Modelo!$Z68=""),"",SUMPRODUCT(POISSON({1,2,3,4,5},Modelo!$AA68,0),POISSON({0,1,2,3,4},Modelo!$Z68,1)))</f>
        <v/>
      </c>
    </row>
    <row r="69" ht="15" customHeight="1">
      <c r="A69" s="7">
        <f>Modelo!A69</f>
        <v/>
      </c>
      <c r="B69" s="7">
        <f>Modelo!B69</f>
        <v/>
      </c>
      <c r="C69" s="7">
        <f>Modelo!C69</f>
        <v/>
      </c>
      <c r="D69" s="7">
        <f>Modelo!D69</f>
        <v/>
      </c>
      <c r="E69" s="7">
        <f>Modelo!E69</f>
        <v/>
      </c>
      <c r="F69" s="13">
        <f>IF($K69="","",$K69/($K69+$L69+$M69))</f>
        <v/>
      </c>
      <c r="G69" s="13">
        <f>IF($K69="","",$L69/($K69+$L69+$M69))</f>
        <v/>
      </c>
      <c r="H69" s="13">
        <f>IF($K69="","",$M69/($K69+$L69+$M69))</f>
        <v/>
      </c>
      <c r="I69" s="7">
        <f>IF($K69="","",INT(Modelo!$Z69)&amp;"-"&amp;INT(Modelo!$AA69))</f>
        <v/>
      </c>
      <c r="J69" s="13">
        <f>IF($K69="","",POISSON(INT(Modelo!$Z69),Modelo!$Z69,0)*POISSON(INT(Modelo!$AA69),Modelo!$AA69,0))</f>
        <v/>
      </c>
      <c r="K69" s="13">
        <f>IF(OR(Modelo!$H69=1,Modelo!$Z69=""),"",SUMPRODUCT(POISSON({1,2,3,4,5},Modelo!$Z69,0),POISSON({0,1,2,3,4},Modelo!$AA69,1)))</f>
        <v/>
      </c>
      <c r="L69" s="13">
        <f>IF(OR(Modelo!$H69=1,Modelo!$Z69=""),"",SUMPRODUCT(POISSON({0,1,2,3,4,5},Modelo!$Z69,0),POISSON({0,1,2,3,4,5},Modelo!$AA69,0)))</f>
        <v/>
      </c>
      <c r="M69" s="13">
        <f>IF(OR(Modelo!$H69=1,Modelo!$Z69=""),"",SUMPRODUCT(POISSON({1,2,3,4,5},Modelo!$AA69,0),POISSON({0,1,2,3,4},Modelo!$Z69,1)))</f>
        <v/>
      </c>
    </row>
    <row r="70" ht="15" customHeight="1">
      <c r="A70" s="7">
        <f>Modelo!A70</f>
        <v/>
      </c>
      <c r="B70" s="7">
        <f>Modelo!B70</f>
        <v/>
      </c>
      <c r="C70" s="7">
        <f>Modelo!C70</f>
        <v/>
      </c>
      <c r="D70" s="7">
        <f>Modelo!D70</f>
        <v/>
      </c>
      <c r="E70" s="7">
        <f>Modelo!E70</f>
        <v/>
      </c>
      <c r="F70" s="13">
        <f>IF($K70="","",$K70/($K70+$L70+$M70))</f>
        <v/>
      </c>
      <c r="G70" s="13">
        <f>IF($K70="","",$L70/($K70+$L70+$M70))</f>
        <v/>
      </c>
      <c r="H70" s="13">
        <f>IF($K70="","",$M70/($K70+$L70+$M70))</f>
        <v/>
      </c>
      <c r="I70" s="7">
        <f>IF($K70="","",INT(Modelo!$Z70)&amp;"-"&amp;INT(Modelo!$AA70))</f>
        <v/>
      </c>
      <c r="J70" s="13">
        <f>IF($K70="","",POISSON(INT(Modelo!$Z70),Modelo!$Z70,0)*POISSON(INT(Modelo!$AA70),Modelo!$AA70,0))</f>
        <v/>
      </c>
      <c r="K70" s="13">
        <f>IF(OR(Modelo!$H70=1,Modelo!$Z70=""),"",SUMPRODUCT(POISSON({1,2,3,4,5},Modelo!$Z70,0),POISSON({0,1,2,3,4},Modelo!$AA70,1)))</f>
        <v/>
      </c>
      <c r="L70" s="13">
        <f>IF(OR(Modelo!$H70=1,Modelo!$Z70=""),"",SUMPRODUCT(POISSON({0,1,2,3,4,5},Modelo!$Z70,0),POISSON({0,1,2,3,4,5},Modelo!$AA70,0)))</f>
        <v/>
      </c>
      <c r="M70" s="13">
        <f>IF(OR(Modelo!$H70=1,Modelo!$Z70=""),"",SUMPRODUCT(POISSON({1,2,3,4,5},Modelo!$AA70,0),POISSON({0,1,2,3,4},Modelo!$Z70,1)))</f>
        <v/>
      </c>
    </row>
    <row r="71" ht="15" customHeight="1">
      <c r="A71" s="7">
        <f>Modelo!A71</f>
        <v/>
      </c>
      <c r="B71" s="7">
        <f>Modelo!B71</f>
        <v/>
      </c>
      <c r="C71" s="7">
        <f>Modelo!C71</f>
        <v/>
      </c>
      <c r="D71" s="7">
        <f>Modelo!D71</f>
        <v/>
      </c>
      <c r="E71" s="7">
        <f>Modelo!E71</f>
        <v/>
      </c>
      <c r="F71" s="13">
        <f>IF($K71="","",$K71/($K71+$L71+$M71))</f>
        <v/>
      </c>
      <c r="G71" s="13">
        <f>IF($K71="","",$L71/($K71+$L71+$M71))</f>
        <v/>
      </c>
      <c r="H71" s="13">
        <f>IF($K71="","",$M71/($K71+$L71+$M71))</f>
        <v/>
      </c>
      <c r="I71" s="7">
        <f>IF($K71="","",INT(Modelo!$Z71)&amp;"-"&amp;INT(Modelo!$AA71))</f>
        <v/>
      </c>
      <c r="J71" s="13">
        <f>IF($K71="","",POISSON(INT(Modelo!$Z71),Modelo!$Z71,0)*POISSON(INT(Modelo!$AA71),Modelo!$AA71,0))</f>
        <v/>
      </c>
      <c r="K71" s="13">
        <f>IF(OR(Modelo!$H71=1,Modelo!$Z71=""),"",SUMPRODUCT(POISSON({1,2,3,4,5},Modelo!$Z71,0),POISSON({0,1,2,3,4},Modelo!$AA71,1)))</f>
        <v/>
      </c>
      <c r="L71" s="13">
        <f>IF(OR(Modelo!$H71=1,Modelo!$Z71=""),"",SUMPRODUCT(POISSON({0,1,2,3,4,5},Modelo!$Z71,0),POISSON({0,1,2,3,4,5},Modelo!$AA71,0)))</f>
        <v/>
      </c>
      <c r="M71" s="13">
        <f>IF(OR(Modelo!$H71=1,Modelo!$Z71=""),"",SUMPRODUCT(POISSON({1,2,3,4,5},Modelo!$AA71,0),POISSON({0,1,2,3,4},Modelo!$Z71,1)))</f>
        <v/>
      </c>
    </row>
    <row r="72" ht="15" customHeight="1">
      <c r="A72" s="7">
        <f>Modelo!A72</f>
        <v/>
      </c>
      <c r="B72" s="7">
        <f>Modelo!B72</f>
        <v/>
      </c>
      <c r="C72" s="7">
        <f>Modelo!C72</f>
        <v/>
      </c>
      <c r="D72" s="7">
        <f>Modelo!D72</f>
        <v/>
      </c>
      <c r="E72" s="7">
        <f>Modelo!E72</f>
        <v/>
      </c>
      <c r="F72" s="13">
        <f>IF($K72="","",$K72/($K72+$L72+$M72))</f>
        <v/>
      </c>
      <c r="G72" s="13">
        <f>IF($K72="","",$L72/($K72+$L72+$M72))</f>
        <v/>
      </c>
      <c r="H72" s="13">
        <f>IF($K72="","",$M72/($K72+$L72+$M72))</f>
        <v/>
      </c>
      <c r="I72" s="7">
        <f>IF($K72="","",INT(Modelo!$Z72)&amp;"-"&amp;INT(Modelo!$AA72))</f>
        <v/>
      </c>
      <c r="J72" s="13">
        <f>IF($K72="","",POISSON(INT(Modelo!$Z72),Modelo!$Z72,0)*POISSON(INT(Modelo!$AA72),Modelo!$AA72,0))</f>
        <v/>
      </c>
      <c r="K72" s="13">
        <f>IF(OR(Modelo!$H72=1,Modelo!$Z72=""),"",SUMPRODUCT(POISSON({1,2,3,4,5},Modelo!$Z72,0),POISSON({0,1,2,3,4},Modelo!$AA72,1)))</f>
        <v/>
      </c>
      <c r="L72" s="13">
        <f>IF(OR(Modelo!$H72=1,Modelo!$Z72=""),"",SUMPRODUCT(POISSON({0,1,2,3,4,5},Modelo!$Z72,0),POISSON({0,1,2,3,4,5},Modelo!$AA72,0)))</f>
        <v/>
      </c>
      <c r="M72" s="13">
        <f>IF(OR(Modelo!$H72=1,Modelo!$Z72=""),"",SUMPRODUCT(POISSON({1,2,3,4,5},Modelo!$AA72,0),POISSON({0,1,2,3,4},Modelo!$Z72,1)))</f>
        <v/>
      </c>
    </row>
    <row r="73" ht="15" customHeight="1">
      <c r="A73" s="7">
        <f>Modelo!A73</f>
        <v/>
      </c>
      <c r="B73" s="7">
        <f>Modelo!B73</f>
        <v/>
      </c>
      <c r="C73" s="7">
        <f>Modelo!C73</f>
        <v/>
      </c>
      <c r="D73" s="7">
        <f>Modelo!D73</f>
        <v/>
      </c>
      <c r="E73" s="7">
        <f>Modelo!E73</f>
        <v/>
      </c>
      <c r="F73" s="13">
        <f>IF($K73="","",$K73/($K73+$L73+$M73))</f>
        <v/>
      </c>
      <c r="G73" s="13">
        <f>IF($K73="","",$L73/($K73+$L73+$M73))</f>
        <v/>
      </c>
      <c r="H73" s="13">
        <f>IF($K73="","",$M73/($K73+$L73+$M73))</f>
        <v/>
      </c>
      <c r="I73" s="7">
        <f>IF($K73="","",INT(Modelo!$Z73)&amp;"-"&amp;INT(Modelo!$AA73))</f>
        <v/>
      </c>
      <c r="J73" s="13">
        <f>IF($K73="","",POISSON(INT(Modelo!$Z73),Modelo!$Z73,0)*POISSON(INT(Modelo!$AA73),Modelo!$AA73,0))</f>
        <v/>
      </c>
      <c r="K73" s="13">
        <f>IF(OR(Modelo!$H73=1,Modelo!$Z73=""),"",SUMPRODUCT(POISSON({1,2,3,4,5},Modelo!$Z73,0),POISSON({0,1,2,3,4},Modelo!$AA73,1)))</f>
        <v/>
      </c>
      <c r="L73" s="13">
        <f>IF(OR(Modelo!$H73=1,Modelo!$Z73=""),"",SUMPRODUCT(POISSON({0,1,2,3,4,5},Modelo!$Z73,0),POISSON({0,1,2,3,4,5},Modelo!$AA73,0)))</f>
        <v/>
      </c>
      <c r="M73" s="13">
        <f>IF(OR(Modelo!$H73=1,Modelo!$Z73=""),"",SUMPRODUCT(POISSON({1,2,3,4,5},Modelo!$AA73,0),POISSON({0,1,2,3,4},Modelo!$Z73,1)))</f>
        <v/>
      </c>
    </row>
    <row r="74" ht="15" customHeight="1">
      <c r="A74" s="7">
        <f>Modelo!A74</f>
        <v/>
      </c>
      <c r="B74" s="7">
        <f>Modelo!B74</f>
        <v/>
      </c>
      <c r="C74" s="7">
        <f>Modelo!C74</f>
        <v/>
      </c>
      <c r="D74" s="7">
        <f>Modelo!D74</f>
        <v/>
      </c>
      <c r="E74" s="7">
        <f>Modelo!E74</f>
        <v/>
      </c>
      <c r="F74" s="13">
        <f>IF($K74="","",$K74/($K74+$L74+$M74))</f>
        <v/>
      </c>
      <c r="G74" s="13">
        <f>IF($K74="","",$L74/($K74+$L74+$M74))</f>
        <v/>
      </c>
      <c r="H74" s="13">
        <f>IF($K74="","",$M74/($K74+$L74+$M74))</f>
        <v/>
      </c>
      <c r="I74" s="7">
        <f>IF($K74="","",INT(Modelo!$Z74)&amp;"-"&amp;INT(Modelo!$AA74))</f>
        <v/>
      </c>
      <c r="J74" s="13">
        <f>IF($K74="","",POISSON(INT(Modelo!$Z74),Modelo!$Z74,0)*POISSON(INT(Modelo!$AA74),Modelo!$AA74,0))</f>
        <v/>
      </c>
      <c r="K74" s="13">
        <f>IF(OR(Modelo!$H74=1,Modelo!$Z74=""),"",SUMPRODUCT(POISSON({1,2,3,4,5},Modelo!$Z74,0),POISSON({0,1,2,3,4},Modelo!$AA74,1)))</f>
        <v/>
      </c>
      <c r="L74" s="13">
        <f>IF(OR(Modelo!$H74=1,Modelo!$Z74=""),"",SUMPRODUCT(POISSON({0,1,2,3,4,5},Modelo!$Z74,0),POISSON({0,1,2,3,4,5},Modelo!$AA74,0)))</f>
        <v/>
      </c>
      <c r="M74" s="13">
        <f>IF(OR(Modelo!$H74=1,Modelo!$Z74=""),"",SUMPRODUCT(POISSON({1,2,3,4,5},Modelo!$AA74,0),POISSON({0,1,2,3,4},Modelo!$Z74,1)))</f>
        <v/>
      </c>
    </row>
    <row r="75" ht="15" customHeight="1">
      <c r="A75" s="7">
        <f>Modelo!A75</f>
        <v/>
      </c>
      <c r="B75" s="7">
        <f>Modelo!B75</f>
        <v/>
      </c>
      <c r="C75" s="7">
        <f>Modelo!C75</f>
        <v/>
      </c>
      <c r="D75" s="7">
        <f>Modelo!D75</f>
        <v/>
      </c>
      <c r="E75" s="7">
        <f>Modelo!E75</f>
        <v/>
      </c>
      <c r="F75" s="13">
        <f>IF($K75="","",$K75/($K75+$L75+$M75))</f>
        <v/>
      </c>
      <c r="G75" s="13">
        <f>IF($K75="","",$L75/($K75+$L75+$M75))</f>
        <v/>
      </c>
      <c r="H75" s="13">
        <f>IF($K75="","",$M75/($K75+$L75+$M75))</f>
        <v/>
      </c>
      <c r="I75" s="7">
        <f>IF($K75="","",INT(Modelo!$Z75)&amp;"-"&amp;INT(Modelo!$AA75))</f>
        <v/>
      </c>
      <c r="J75" s="13">
        <f>IF($K75="","",POISSON(INT(Modelo!$Z75),Modelo!$Z75,0)*POISSON(INT(Modelo!$AA75),Modelo!$AA75,0))</f>
        <v/>
      </c>
      <c r="K75" s="13">
        <f>IF(OR(Modelo!$H75=1,Modelo!$Z75=""),"",SUMPRODUCT(POISSON({1,2,3,4,5},Modelo!$Z75,0),POISSON({0,1,2,3,4},Modelo!$AA75,1)))</f>
        <v/>
      </c>
      <c r="L75" s="13">
        <f>IF(OR(Modelo!$H75=1,Modelo!$Z75=""),"",SUMPRODUCT(POISSON({0,1,2,3,4,5},Modelo!$Z75,0),POISSON({0,1,2,3,4,5},Modelo!$AA75,0)))</f>
        <v/>
      </c>
      <c r="M75" s="13">
        <f>IF(OR(Modelo!$H75=1,Modelo!$Z75=""),"",SUMPRODUCT(POISSON({1,2,3,4,5},Modelo!$AA75,0),POISSON({0,1,2,3,4},Modelo!$Z75,1)))</f>
        <v/>
      </c>
    </row>
    <row r="76" ht="15" customHeight="1">
      <c r="A76" s="7">
        <f>Modelo!A76</f>
        <v/>
      </c>
      <c r="B76" s="7">
        <f>Modelo!B76</f>
        <v/>
      </c>
      <c r="C76" s="7">
        <f>Modelo!C76</f>
        <v/>
      </c>
      <c r="D76" s="7">
        <f>Modelo!D76</f>
        <v/>
      </c>
      <c r="E76" s="7">
        <f>Modelo!E76</f>
        <v/>
      </c>
      <c r="F76" s="13">
        <f>IF($K76="","",$K76/($K76+$L76+$M76))</f>
        <v/>
      </c>
      <c r="G76" s="13">
        <f>IF($K76="","",$L76/($K76+$L76+$M76))</f>
        <v/>
      </c>
      <c r="H76" s="13">
        <f>IF($K76="","",$M76/($K76+$L76+$M76))</f>
        <v/>
      </c>
      <c r="I76" s="7">
        <f>IF($K76="","",INT(Modelo!$Z76)&amp;"-"&amp;INT(Modelo!$AA76))</f>
        <v/>
      </c>
      <c r="J76" s="13">
        <f>IF($K76="","",POISSON(INT(Modelo!$Z76),Modelo!$Z76,0)*POISSON(INT(Modelo!$AA76),Modelo!$AA76,0))</f>
        <v/>
      </c>
      <c r="K76" s="13">
        <f>IF(OR(Modelo!$H76=1,Modelo!$Z76=""),"",SUMPRODUCT(POISSON({1,2,3,4,5},Modelo!$Z76,0),POISSON({0,1,2,3,4},Modelo!$AA76,1)))</f>
        <v/>
      </c>
      <c r="L76" s="13">
        <f>IF(OR(Modelo!$H76=1,Modelo!$Z76=""),"",SUMPRODUCT(POISSON({0,1,2,3,4,5},Modelo!$Z76,0),POISSON({0,1,2,3,4,5},Modelo!$AA76,0)))</f>
        <v/>
      </c>
      <c r="M76" s="13">
        <f>IF(OR(Modelo!$H76=1,Modelo!$Z76=""),"",SUMPRODUCT(POISSON({1,2,3,4,5},Modelo!$AA76,0),POISSON({0,1,2,3,4},Modelo!$Z76,1)))</f>
        <v/>
      </c>
    </row>
    <row r="77" ht="15" customHeight="1">
      <c r="A77" s="7">
        <f>Modelo!A77</f>
        <v/>
      </c>
      <c r="B77" s="7">
        <f>Modelo!B77</f>
        <v/>
      </c>
      <c r="C77" s="7">
        <f>Modelo!C77</f>
        <v/>
      </c>
      <c r="D77" s="7">
        <f>Modelo!D77</f>
        <v/>
      </c>
      <c r="E77" s="7">
        <f>Modelo!E77</f>
        <v/>
      </c>
      <c r="F77" s="13">
        <f>IF($K77="","",$K77/($K77+$L77+$M77))</f>
        <v/>
      </c>
      <c r="G77" s="13">
        <f>IF($K77="","",$L77/($K77+$L77+$M77))</f>
        <v/>
      </c>
      <c r="H77" s="13">
        <f>IF($K77="","",$M77/($K77+$L77+$M77))</f>
        <v/>
      </c>
      <c r="I77" s="7">
        <f>IF($K77="","",INT(Modelo!$Z77)&amp;"-"&amp;INT(Modelo!$AA77))</f>
        <v/>
      </c>
      <c r="J77" s="13">
        <f>IF($K77="","",POISSON(INT(Modelo!$Z77),Modelo!$Z77,0)*POISSON(INT(Modelo!$AA77),Modelo!$AA77,0))</f>
        <v/>
      </c>
      <c r="K77" s="13">
        <f>IF(OR(Modelo!$H77=1,Modelo!$Z77=""),"",SUMPRODUCT(POISSON({1,2,3,4,5},Modelo!$Z77,0),POISSON({0,1,2,3,4},Modelo!$AA77,1)))</f>
        <v/>
      </c>
      <c r="L77" s="13">
        <f>IF(OR(Modelo!$H77=1,Modelo!$Z77=""),"",SUMPRODUCT(POISSON({0,1,2,3,4,5},Modelo!$Z77,0),POISSON({0,1,2,3,4,5},Modelo!$AA77,0)))</f>
        <v/>
      </c>
      <c r="M77" s="13">
        <f>IF(OR(Modelo!$H77=1,Modelo!$Z77=""),"",SUMPRODUCT(POISSON({1,2,3,4,5},Modelo!$AA77,0),POISSON({0,1,2,3,4},Modelo!$Z77,1)))</f>
        <v/>
      </c>
    </row>
    <row r="78" ht="15" customHeight="1">
      <c r="A78" s="7">
        <f>Modelo!A78</f>
        <v/>
      </c>
      <c r="B78" s="7">
        <f>Modelo!B78</f>
        <v/>
      </c>
      <c r="C78" s="7">
        <f>Modelo!C78</f>
        <v/>
      </c>
      <c r="D78" s="7">
        <f>Modelo!D78</f>
        <v/>
      </c>
      <c r="E78" s="7">
        <f>Modelo!E78</f>
        <v/>
      </c>
      <c r="F78" s="13">
        <f>IF($K78="","",$K78/($K78+$L78+$M78))</f>
        <v/>
      </c>
      <c r="G78" s="13">
        <f>IF($K78="","",$L78/($K78+$L78+$M78))</f>
        <v/>
      </c>
      <c r="H78" s="13">
        <f>IF($K78="","",$M78/($K78+$L78+$M78))</f>
        <v/>
      </c>
      <c r="I78" s="7">
        <f>IF($K78="","",INT(Modelo!$Z78)&amp;"-"&amp;INT(Modelo!$AA78))</f>
        <v/>
      </c>
      <c r="J78" s="13">
        <f>IF($K78="","",POISSON(INT(Modelo!$Z78),Modelo!$Z78,0)*POISSON(INT(Modelo!$AA78),Modelo!$AA78,0))</f>
        <v/>
      </c>
      <c r="K78" s="13">
        <f>IF(OR(Modelo!$H78=1,Modelo!$Z78=""),"",SUMPRODUCT(POISSON({1,2,3,4,5},Modelo!$Z78,0),POISSON({0,1,2,3,4},Modelo!$AA78,1)))</f>
        <v/>
      </c>
      <c r="L78" s="13">
        <f>IF(OR(Modelo!$H78=1,Modelo!$Z78=""),"",SUMPRODUCT(POISSON({0,1,2,3,4,5},Modelo!$Z78,0),POISSON({0,1,2,3,4,5},Modelo!$AA78,0)))</f>
        <v/>
      </c>
      <c r="M78" s="13">
        <f>IF(OR(Modelo!$H78=1,Modelo!$Z78=""),"",SUMPRODUCT(POISSON({1,2,3,4,5},Modelo!$AA78,0),POISSON({0,1,2,3,4},Modelo!$Z78,1)))</f>
        <v/>
      </c>
    </row>
    <row r="79" ht="15" customHeight="1">
      <c r="A79" s="7">
        <f>Modelo!A79</f>
        <v/>
      </c>
      <c r="B79" s="7">
        <f>Modelo!B79</f>
        <v/>
      </c>
      <c r="C79" s="7">
        <f>Modelo!C79</f>
        <v/>
      </c>
      <c r="D79" s="7">
        <f>Modelo!D79</f>
        <v/>
      </c>
      <c r="E79" s="7">
        <f>Modelo!E79</f>
        <v/>
      </c>
      <c r="F79" s="13">
        <f>IF($K79="","",$K79/($K79+$L79+$M79))</f>
        <v/>
      </c>
      <c r="G79" s="13">
        <f>IF($K79="","",$L79/($K79+$L79+$M79))</f>
        <v/>
      </c>
      <c r="H79" s="13">
        <f>IF($K79="","",$M79/($K79+$L79+$M79))</f>
        <v/>
      </c>
      <c r="I79" s="7">
        <f>IF($K79="","",INT(Modelo!$Z79)&amp;"-"&amp;INT(Modelo!$AA79))</f>
        <v/>
      </c>
      <c r="J79" s="13">
        <f>IF($K79="","",POISSON(INT(Modelo!$Z79),Modelo!$Z79,0)*POISSON(INT(Modelo!$AA79),Modelo!$AA79,0))</f>
        <v/>
      </c>
      <c r="K79" s="13">
        <f>IF(OR(Modelo!$H79=1,Modelo!$Z79=""),"",SUMPRODUCT(POISSON({1,2,3,4,5},Modelo!$Z79,0),POISSON({0,1,2,3,4},Modelo!$AA79,1)))</f>
        <v/>
      </c>
      <c r="L79" s="13">
        <f>IF(OR(Modelo!$H79=1,Modelo!$Z79=""),"",SUMPRODUCT(POISSON({0,1,2,3,4,5},Modelo!$Z79,0),POISSON({0,1,2,3,4,5},Modelo!$AA79,0)))</f>
        <v/>
      </c>
      <c r="M79" s="13">
        <f>IF(OR(Modelo!$H79=1,Modelo!$Z79=""),"",SUMPRODUCT(POISSON({1,2,3,4,5},Modelo!$AA79,0),POISSON({0,1,2,3,4},Modelo!$Z79,1)))</f>
        <v/>
      </c>
    </row>
    <row r="80" ht="15" customHeight="1">
      <c r="A80" s="7">
        <f>Modelo!A80</f>
        <v/>
      </c>
      <c r="B80" s="7">
        <f>Modelo!B80</f>
        <v/>
      </c>
      <c r="C80" s="7">
        <f>Modelo!C80</f>
        <v/>
      </c>
      <c r="D80" s="7">
        <f>Modelo!D80</f>
        <v/>
      </c>
      <c r="E80" s="7">
        <f>Modelo!E80</f>
        <v/>
      </c>
      <c r="F80" s="13">
        <f>IF($K80="","",$K80/($K80+$L80+$M80))</f>
        <v/>
      </c>
      <c r="G80" s="13">
        <f>IF($K80="","",$L80/($K80+$L80+$M80))</f>
        <v/>
      </c>
      <c r="H80" s="13">
        <f>IF($K80="","",$M80/($K80+$L80+$M80))</f>
        <v/>
      </c>
      <c r="I80" s="7">
        <f>IF($K80="","",INT(Modelo!$Z80)&amp;"-"&amp;INT(Modelo!$AA80))</f>
        <v/>
      </c>
      <c r="J80" s="13">
        <f>IF($K80="","",POISSON(INT(Modelo!$Z80),Modelo!$Z80,0)*POISSON(INT(Modelo!$AA80),Modelo!$AA80,0))</f>
        <v/>
      </c>
      <c r="K80" s="13">
        <f>IF(OR(Modelo!$H80=1,Modelo!$Z80=""),"",SUMPRODUCT(POISSON({1,2,3,4,5},Modelo!$Z80,0),POISSON({0,1,2,3,4},Modelo!$AA80,1)))</f>
        <v/>
      </c>
      <c r="L80" s="13">
        <f>IF(OR(Modelo!$H80=1,Modelo!$Z80=""),"",SUMPRODUCT(POISSON({0,1,2,3,4,5},Modelo!$Z80,0),POISSON({0,1,2,3,4,5},Modelo!$AA80,0)))</f>
        <v/>
      </c>
      <c r="M80" s="13">
        <f>IF(OR(Modelo!$H80=1,Modelo!$Z80=""),"",SUMPRODUCT(POISSON({1,2,3,4,5},Modelo!$AA80,0),POISSON({0,1,2,3,4},Modelo!$Z80,1)))</f>
        <v/>
      </c>
    </row>
    <row r="81" ht="15" customHeight="1">
      <c r="A81" s="7">
        <f>Modelo!A81</f>
        <v/>
      </c>
      <c r="B81" s="7">
        <f>Modelo!B81</f>
        <v/>
      </c>
      <c r="C81" s="7">
        <f>Modelo!C81</f>
        <v/>
      </c>
      <c r="D81" s="7">
        <f>Modelo!D81</f>
        <v/>
      </c>
      <c r="E81" s="7">
        <f>Modelo!E81</f>
        <v/>
      </c>
      <c r="F81" s="13">
        <f>IF($K81="","",$K81/($K81+$L81+$M81))</f>
        <v/>
      </c>
      <c r="G81" s="13">
        <f>IF($K81="","",$L81/($K81+$L81+$M81))</f>
        <v/>
      </c>
      <c r="H81" s="13">
        <f>IF($K81="","",$M81/($K81+$L81+$M81))</f>
        <v/>
      </c>
      <c r="I81" s="7">
        <f>IF($K81="","",INT(Modelo!$Z81)&amp;"-"&amp;INT(Modelo!$AA81))</f>
        <v/>
      </c>
      <c r="J81" s="13">
        <f>IF($K81="","",POISSON(INT(Modelo!$Z81),Modelo!$Z81,0)*POISSON(INT(Modelo!$AA81),Modelo!$AA81,0))</f>
        <v/>
      </c>
      <c r="K81" s="13">
        <f>IF(OR(Modelo!$H81=1,Modelo!$Z81=""),"",SUMPRODUCT(POISSON({1,2,3,4,5},Modelo!$Z81,0),POISSON({0,1,2,3,4},Modelo!$AA81,1)))</f>
        <v/>
      </c>
      <c r="L81" s="13">
        <f>IF(OR(Modelo!$H81=1,Modelo!$Z81=""),"",SUMPRODUCT(POISSON({0,1,2,3,4,5},Modelo!$Z81,0),POISSON({0,1,2,3,4,5},Modelo!$AA81,0)))</f>
        <v/>
      </c>
      <c r="M81" s="13">
        <f>IF(OR(Modelo!$H81=1,Modelo!$Z81=""),"",SUMPRODUCT(POISSON({1,2,3,4,5},Modelo!$AA81,0),POISSON({0,1,2,3,4},Modelo!$Z81,1)))</f>
        <v/>
      </c>
    </row>
    <row r="82" ht="15" customHeight="1">
      <c r="A82" s="7">
        <f>Modelo!A82</f>
        <v/>
      </c>
      <c r="B82" s="7">
        <f>Modelo!B82</f>
        <v/>
      </c>
      <c r="C82" s="7">
        <f>Modelo!C82</f>
        <v/>
      </c>
      <c r="D82" s="7">
        <f>Modelo!D82</f>
        <v/>
      </c>
      <c r="E82" s="7">
        <f>Modelo!E82</f>
        <v/>
      </c>
      <c r="F82" s="13">
        <f>IF($K82="","",$K82/($K82+$L82+$M82))</f>
        <v/>
      </c>
      <c r="G82" s="13">
        <f>IF($K82="","",$L82/($K82+$L82+$M82))</f>
        <v/>
      </c>
      <c r="H82" s="13">
        <f>IF($K82="","",$M82/($K82+$L82+$M82))</f>
        <v/>
      </c>
      <c r="I82" s="7">
        <f>IF($K82="","",INT(Modelo!$Z82)&amp;"-"&amp;INT(Modelo!$AA82))</f>
        <v/>
      </c>
      <c r="J82" s="13">
        <f>IF($K82="","",POISSON(INT(Modelo!$Z82),Modelo!$Z82,0)*POISSON(INT(Modelo!$AA82),Modelo!$AA82,0))</f>
        <v/>
      </c>
      <c r="K82" s="13">
        <f>IF(OR(Modelo!$H82=1,Modelo!$Z82=""),"",SUMPRODUCT(POISSON({1,2,3,4,5},Modelo!$Z82,0),POISSON({0,1,2,3,4},Modelo!$AA82,1)))</f>
        <v/>
      </c>
      <c r="L82" s="13">
        <f>IF(OR(Modelo!$H82=1,Modelo!$Z82=""),"",SUMPRODUCT(POISSON({0,1,2,3,4,5},Modelo!$Z82,0),POISSON({0,1,2,3,4,5},Modelo!$AA82,0)))</f>
        <v/>
      </c>
      <c r="M82" s="13">
        <f>IF(OR(Modelo!$H82=1,Modelo!$Z82=""),"",SUMPRODUCT(POISSON({1,2,3,4,5},Modelo!$AA82,0),POISSON({0,1,2,3,4},Modelo!$Z82,1)))</f>
        <v/>
      </c>
    </row>
    <row r="83" ht="15" customHeight="1">
      <c r="A83" s="7">
        <f>Modelo!A83</f>
        <v/>
      </c>
      <c r="B83" s="7">
        <f>Modelo!B83</f>
        <v/>
      </c>
      <c r="C83" s="7">
        <f>Modelo!C83</f>
        <v/>
      </c>
      <c r="D83" s="7">
        <f>Modelo!D83</f>
        <v/>
      </c>
      <c r="E83" s="7">
        <f>Modelo!E83</f>
        <v/>
      </c>
      <c r="F83" s="13">
        <f>IF($K83="","",$K83/($K83+$L83+$M83))</f>
        <v/>
      </c>
      <c r="G83" s="13">
        <f>IF($K83="","",$L83/($K83+$L83+$M83))</f>
        <v/>
      </c>
      <c r="H83" s="13">
        <f>IF($K83="","",$M83/($K83+$L83+$M83))</f>
        <v/>
      </c>
      <c r="I83" s="7">
        <f>IF($K83="","",INT(Modelo!$Z83)&amp;"-"&amp;INT(Modelo!$AA83))</f>
        <v/>
      </c>
      <c r="J83" s="13">
        <f>IF($K83="","",POISSON(INT(Modelo!$Z83),Modelo!$Z83,0)*POISSON(INT(Modelo!$AA83),Modelo!$AA83,0))</f>
        <v/>
      </c>
      <c r="K83" s="13">
        <f>IF(OR(Modelo!$H83=1,Modelo!$Z83=""),"",SUMPRODUCT(POISSON({1,2,3,4,5},Modelo!$Z83,0),POISSON({0,1,2,3,4},Modelo!$AA83,1)))</f>
        <v/>
      </c>
      <c r="L83" s="13">
        <f>IF(OR(Modelo!$H83=1,Modelo!$Z83=""),"",SUMPRODUCT(POISSON({0,1,2,3,4,5},Modelo!$Z83,0),POISSON({0,1,2,3,4,5},Modelo!$AA83,0)))</f>
        <v/>
      </c>
      <c r="M83" s="13">
        <f>IF(OR(Modelo!$H83=1,Modelo!$Z83=""),"",SUMPRODUCT(POISSON({1,2,3,4,5},Modelo!$AA83,0),POISSON({0,1,2,3,4},Modelo!$Z83,1)))</f>
        <v/>
      </c>
    </row>
    <row r="84" ht="15" customHeight="1">
      <c r="A84" s="7">
        <f>Modelo!A84</f>
        <v/>
      </c>
      <c r="B84" s="7">
        <f>Modelo!B84</f>
        <v/>
      </c>
      <c r="C84" s="7">
        <f>Modelo!C84</f>
        <v/>
      </c>
      <c r="D84" s="7">
        <f>Modelo!D84</f>
        <v/>
      </c>
      <c r="E84" s="7">
        <f>Modelo!E84</f>
        <v/>
      </c>
      <c r="F84" s="13">
        <f>IF($K84="","",$K84/($K84+$L84+$M84))</f>
        <v/>
      </c>
      <c r="G84" s="13">
        <f>IF($K84="","",$L84/($K84+$L84+$M84))</f>
        <v/>
      </c>
      <c r="H84" s="13">
        <f>IF($K84="","",$M84/($K84+$L84+$M84))</f>
        <v/>
      </c>
      <c r="I84" s="7">
        <f>IF($K84="","",INT(Modelo!$Z84)&amp;"-"&amp;INT(Modelo!$AA84))</f>
        <v/>
      </c>
      <c r="J84" s="13">
        <f>IF($K84="","",POISSON(INT(Modelo!$Z84),Modelo!$Z84,0)*POISSON(INT(Modelo!$AA84),Modelo!$AA84,0))</f>
        <v/>
      </c>
      <c r="K84" s="13">
        <f>IF(OR(Modelo!$H84=1,Modelo!$Z84=""),"",SUMPRODUCT(POISSON({1,2,3,4,5},Modelo!$Z84,0),POISSON({0,1,2,3,4},Modelo!$AA84,1)))</f>
        <v/>
      </c>
      <c r="L84" s="13">
        <f>IF(OR(Modelo!$H84=1,Modelo!$Z84=""),"",SUMPRODUCT(POISSON({0,1,2,3,4,5},Modelo!$Z84,0),POISSON({0,1,2,3,4,5},Modelo!$AA84,0)))</f>
        <v/>
      </c>
      <c r="M84" s="13">
        <f>IF(OR(Modelo!$H84=1,Modelo!$Z84=""),"",SUMPRODUCT(POISSON({1,2,3,4,5},Modelo!$AA84,0),POISSON({0,1,2,3,4},Modelo!$Z84,1)))</f>
        <v/>
      </c>
    </row>
    <row r="85" ht="15" customHeight="1">
      <c r="A85" s="7">
        <f>Modelo!A85</f>
        <v/>
      </c>
      <c r="B85" s="7">
        <f>Modelo!B85</f>
        <v/>
      </c>
      <c r="C85" s="7">
        <f>Modelo!C85</f>
        <v/>
      </c>
      <c r="D85" s="7">
        <f>Modelo!D85</f>
        <v/>
      </c>
      <c r="E85" s="7">
        <f>Modelo!E85</f>
        <v/>
      </c>
      <c r="F85" s="13">
        <f>IF($K85="","",$K85/($K85+$L85+$M85))</f>
        <v/>
      </c>
      <c r="G85" s="13">
        <f>IF($K85="","",$L85/($K85+$L85+$M85))</f>
        <v/>
      </c>
      <c r="H85" s="13">
        <f>IF($K85="","",$M85/($K85+$L85+$M85))</f>
        <v/>
      </c>
      <c r="I85" s="7">
        <f>IF($K85="","",INT(Modelo!$Z85)&amp;"-"&amp;INT(Modelo!$AA85))</f>
        <v/>
      </c>
      <c r="J85" s="13">
        <f>IF($K85="","",POISSON(INT(Modelo!$Z85),Modelo!$Z85,0)*POISSON(INT(Modelo!$AA85),Modelo!$AA85,0))</f>
        <v/>
      </c>
      <c r="K85" s="13">
        <f>IF(OR(Modelo!$H85=1,Modelo!$Z85=""),"",SUMPRODUCT(POISSON({1,2,3,4,5},Modelo!$Z85,0),POISSON({0,1,2,3,4},Modelo!$AA85,1)))</f>
        <v/>
      </c>
      <c r="L85" s="13">
        <f>IF(OR(Modelo!$H85=1,Modelo!$Z85=""),"",SUMPRODUCT(POISSON({0,1,2,3,4,5},Modelo!$Z85,0),POISSON({0,1,2,3,4,5},Modelo!$AA85,0)))</f>
        <v/>
      </c>
      <c r="M85" s="13">
        <f>IF(OR(Modelo!$H85=1,Modelo!$Z85=""),"",SUMPRODUCT(POISSON({1,2,3,4,5},Modelo!$AA85,0),POISSON({0,1,2,3,4},Modelo!$Z85,1)))</f>
        <v/>
      </c>
    </row>
    <row r="86" ht="15" customHeight="1">
      <c r="A86" s="7">
        <f>Modelo!A86</f>
        <v/>
      </c>
      <c r="B86" s="7">
        <f>Modelo!B86</f>
        <v/>
      </c>
      <c r="C86" s="7">
        <f>Modelo!C86</f>
        <v/>
      </c>
      <c r="D86" s="7">
        <f>Modelo!D86</f>
        <v/>
      </c>
      <c r="E86" s="7">
        <f>Modelo!E86</f>
        <v/>
      </c>
      <c r="F86" s="13">
        <f>IF($K86="","",$K86/($K86+$L86+$M86))</f>
        <v/>
      </c>
      <c r="G86" s="13">
        <f>IF($K86="","",$L86/($K86+$L86+$M86))</f>
        <v/>
      </c>
      <c r="H86" s="13">
        <f>IF($K86="","",$M86/($K86+$L86+$M86))</f>
        <v/>
      </c>
      <c r="I86" s="7">
        <f>IF($K86="","",INT(Modelo!$Z86)&amp;"-"&amp;INT(Modelo!$AA86))</f>
        <v/>
      </c>
      <c r="J86" s="13">
        <f>IF($K86="","",POISSON(INT(Modelo!$Z86),Modelo!$Z86,0)*POISSON(INT(Modelo!$AA86),Modelo!$AA86,0))</f>
        <v/>
      </c>
      <c r="K86" s="13">
        <f>IF(OR(Modelo!$H86=1,Modelo!$Z86=""),"",SUMPRODUCT(POISSON({1,2,3,4,5},Modelo!$Z86,0),POISSON({0,1,2,3,4},Modelo!$AA86,1)))</f>
        <v/>
      </c>
      <c r="L86" s="13">
        <f>IF(OR(Modelo!$H86=1,Modelo!$Z86=""),"",SUMPRODUCT(POISSON({0,1,2,3,4,5},Modelo!$Z86,0),POISSON({0,1,2,3,4,5},Modelo!$AA86,0)))</f>
        <v/>
      </c>
      <c r="M86" s="13">
        <f>IF(OR(Modelo!$H86=1,Modelo!$Z86=""),"",SUMPRODUCT(POISSON({1,2,3,4,5},Modelo!$AA86,0),POISSON({0,1,2,3,4},Modelo!$Z86,1)))</f>
        <v/>
      </c>
    </row>
    <row r="87" ht="15" customHeight="1">
      <c r="A87" s="7">
        <f>Modelo!A87</f>
        <v/>
      </c>
      <c r="B87" s="7">
        <f>Modelo!B87</f>
        <v/>
      </c>
      <c r="C87" s="7">
        <f>Modelo!C87</f>
        <v/>
      </c>
      <c r="D87" s="7">
        <f>Modelo!D87</f>
        <v/>
      </c>
      <c r="E87" s="7">
        <f>Modelo!E87</f>
        <v/>
      </c>
      <c r="F87" s="13">
        <f>IF($K87="","",$K87/($K87+$L87+$M87))</f>
        <v/>
      </c>
      <c r="G87" s="13">
        <f>IF($K87="","",$L87/($K87+$L87+$M87))</f>
        <v/>
      </c>
      <c r="H87" s="13">
        <f>IF($K87="","",$M87/($K87+$L87+$M87))</f>
        <v/>
      </c>
      <c r="I87" s="7">
        <f>IF($K87="","",INT(Modelo!$Z87)&amp;"-"&amp;INT(Modelo!$AA87))</f>
        <v/>
      </c>
      <c r="J87" s="13">
        <f>IF($K87="","",POISSON(INT(Modelo!$Z87),Modelo!$Z87,0)*POISSON(INT(Modelo!$AA87),Modelo!$AA87,0))</f>
        <v/>
      </c>
      <c r="K87" s="13">
        <f>IF(OR(Modelo!$H87=1,Modelo!$Z87=""),"",SUMPRODUCT(POISSON({1,2,3,4,5},Modelo!$Z87,0),POISSON({0,1,2,3,4},Modelo!$AA87,1)))</f>
        <v/>
      </c>
      <c r="L87" s="13">
        <f>IF(OR(Modelo!$H87=1,Modelo!$Z87=""),"",SUMPRODUCT(POISSON({0,1,2,3,4,5},Modelo!$Z87,0),POISSON({0,1,2,3,4,5},Modelo!$AA87,0)))</f>
        <v/>
      </c>
      <c r="M87" s="13">
        <f>IF(OR(Modelo!$H87=1,Modelo!$Z87=""),"",SUMPRODUCT(POISSON({1,2,3,4,5},Modelo!$AA87,0),POISSON({0,1,2,3,4},Modelo!$Z87,1)))</f>
        <v/>
      </c>
    </row>
    <row r="88" ht="15" customHeight="1">
      <c r="A88" s="7">
        <f>Modelo!A88</f>
        <v/>
      </c>
      <c r="B88" s="7">
        <f>Modelo!B88</f>
        <v/>
      </c>
      <c r="C88" s="7">
        <f>Modelo!C88</f>
        <v/>
      </c>
      <c r="D88" s="7">
        <f>Modelo!D88</f>
        <v/>
      </c>
      <c r="E88" s="7">
        <f>Modelo!E88</f>
        <v/>
      </c>
      <c r="F88" s="13">
        <f>IF($K88="","",$K88/($K88+$L88+$M88))</f>
        <v/>
      </c>
      <c r="G88" s="13">
        <f>IF($K88="","",$L88/($K88+$L88+$M88))</f>
        <v/>
      </c>
      <c r="H88" s="13">
        <f>IF($K88="","",$M88/($K88+$L88+$M88))</f>
        <v/>
      </c>
      <c r="I88" s="7">
        <f>IF($K88="","",INT(Modelo!$Z88)&amp;"-"&amp;INT(Modelo!$AA88))</f>
        <v/>
      </c>
      <c r="J88" s="13">
        <f>IF($K88="","",POISSON(INT(Modelo!$Z88),Modelo!$Z88,0)*POISSON(INT(Modelo!$AA88),Modelo!$AA88,0))</f>
        <v/>
      </c>
      <c r="K88" s="13">
        <f>IF(OR(Modelo!$H88=1,Modelo!$Z88=""),"",SUMPRODUCT(POISSON({1,2,3,4,5},Modelo!$Z88,0),POISSON({0,1,2,3,4},Modelo!$AA88,1)))</f>
        <v/>
      </c>
      <c r="L88" s="13">
        <f>IF(OR(Modelo!$H88=1,Modelo!$Z88=""),"",SUMPRODUCT(POISSON({0,1,2,3,4,5},Modelo!$Z88,0),POISSON({0,1,2,3,4,5},Modelo!$AA88,0)))</f>
        <v/>
      </c>
      <c r="M88" s="13">
        <f>IF(OR(Modelo!$H88=1,Modelo!$Z88=""),"",SUMPRODUCT(POISSON({1,2,3,4,5},Modelo!$AA88,0),POISSON({0,1,2,3,4},Modelo!$Z88,1)))</f>
        <v/>
      </c>
    </row>
    <row r="89" ht="15" customHeight="1">
      <c r="A89" s="7">
        <f>Modelo!A89</f>
        <v/>
      </c>
      <c r="B89" s="7">
        <f>Modelo!B89</f>
        <v/>
      </c>
      <c r="C89" s="7">
        <f>Modelo!C89</f>
        <v/>
      </c>
      <c r="D89" s="7">
        <f>Modelo!D89</f>
        <v/>
      </c>
      <c r="E89" s="7">
        <f>Modelo!E89</f>
        <v/>
      </c>
      <c r="F89" s="13">
        <f>IF($K89="","",$K89/($K89+$L89+$M89))</f>
        <v/>
      </c>
      <c r="G89" s="13">
        <f>IF($K89="","",$L89/($K89+$L89+$M89))</f>
        <v/>
      </c>
      <c r="H89" s="13">
        <f>IF($K89="","",$M89/($K89+$L89+$M89))</f>
        <v/>
      </c>
      <c r="I89" s="7">
        <f>IF($K89="","",INT(Modelo!$Z89)&amp;"-"&amp;INT(Modelo!$AA89))</f>
        <v/>
      </c>
      <c r="J89" s="13">
        <f>IF($K89="","",POISSON(INT(Modelo!$Z89),Modelo!$Z89,0)*POISSON(INT(Modelo!$AA89),Modelo!$AA89,0))</f>
        <v/>
      </c>
      <c r="K89" s="13">
        <f>IF(OR(Modelo!$H89=1,Modelo!$Z89=""),"",SUMPRODUCT(POISSON({1,2,3,4,5},Modelo!$Z89,0),POISSON({0,1,2,3,4},Modelo!$AA89,1)))</f>
        <v/>
      </c>
      <c r="L89" s="13">
        <f>IF(OR(Modelo!$H89=1,Modelo!$Z89=""),"",SUMPRODUCT(POISSON({0,1,2,3,4,5},Modelo!$Z89,0),POISSON({0,1,2,3,4,5},Modelo!$AA89,0)))</f>
        <v/>
      </c>
      <c r="M89" s="13">
        <f>IF(OR(Modelo!$H89=1,Modelo!$Z89=""),"",SUMPRODUCT(POISSON({1,2,3,4,5},Modelo!$AA89,0),POISSON({0,1,2,3,4},Modelo!$Z89,1)))</f>
        <v/>
      </c>
    </row>
    <row r="90" ht="15" customHeight="1">
      <c r="A90" s="7">
        <f>Modelo!A90</f>
        <v/>
      </c>
      <c r="B90" s="7">
        <f>Modelo!B90</f>
        <v/>
      </c>
      <c r="C90" s="7">
        <f>Modelo!C90</f>
        <v/>
      </c>
      <c r="D90" s="7">
        <f>Modelo!D90</f>
        <v/>
      </c>
      <c r="E90" s="7">
        <f>Modelo!E90</f>
        <v/>
      </c>
      <c r="F90" s="13">
        <f>IF($K90="","",$K90/($K90+$L90+$M90))</f>
        <v/>
      </c>
      <c r="G90" s="13">
        <f>IF($K90="","",$L90/($K90+$L90+$M90))</f>
        <v/>
      </c>
      <c r="H90" s="13">
        <f>IF($K90="","",$M90/($K90+$L90+$M90))</f>
        <v/>
      </c>
      <c r="I90" s="7">
        <f>IF($K90="","",INT(Modelo!$Z90)&amp;"-"&amp;INT(Modelo!$AA90))</f>
        <v/>
      </c>
      <c r="J90" s="13">
        <f>IF($K90="","",POISSON(INT(Modelo!$Z90),Modelo!$Z90,0)*POISSON(INT(Modelo!$AA90),Modelo!$AA90,0))</f>
        <v/>
      </c>
      <c r="K90" s="13">
        <f>IF(OR(Modelo!$H90=1,Modelo!$Z90=""),"",SUMPRODUCT(POISSON({1,2,3,4,5},Modelo!$Z90,0),POISSON({0,1,2,3,4},Modelo!$AA90,1)))</f>
        <v/>
      </c>
      <c r="L90" s="13">
        <f>IF(OR(Modelo!$H90=1,Modelo!$Z90=""),"",SUMPRODUCT(POISSON({0,1,2,3,4,5},Modelo!$Z90,0),POISSON({0,1,2,3,4,5},Modelo!$AA90,0)))</f>
        <v/>
      </c>
      <c r="M90" s="13">
        <f>IF(OR(Modelo!$H90=1,Modelo!$Z90=""),"",SUMPRODUCT(POISSON({1,2,3,4,5},Modelo!$AA90,0),POISSON({0,1,2,3,4},Modelo!$Z90,1)))</f>
        <v/>
      </c>
    </row>
    <row r="91" ht="15" customHeight="1">
      <c r="A91" s="7">
        <f>Modelo!A91</f>
        <v/>
      </c>
      <c r="B91" s="7">
        <f>Modelo!B91</f>
        <v/>
      </c>
      <c r="C91" s="7">
        <f>Modelo!C91</f>
        <v/>
      </c>
      <c r="D91" s="7">
        <f>Modelo!D91</f>
        <v/>
      </c>
      <c r="E91" s="7">
        <f>Modelo!E91</f>
        <v/>
      </c>
      <c r="F91" s="13">
        <f>IF($K91="","",$K91/($K91+$L91+$M91))</f>
        <v/>
      </c>
      <c r="G91" s="13">
        <f>IF($K91="","",$L91/($K91+$L91+$M91))</f>
        <v/>
      </c>
      <c r="H91" s="13">
        <f>IF($K91="","",$M91/($K91+$L91+$M91))</f>
        <v/>
      </c>
      <c r="I91" s="7">
        <f>IF($K91="","",INT(Modelo!$Z91)&amp;"-"&amp;INT(Modelo!$AA91))</f>
        <v/>
      </c>
      <c r="J91" s="13">
        <f>IF($K91="","",POISSON(INT(Modelo!$Z91),Modelo!$Z91,0)*POISSON(INT(Modelo!$AA91),Modelo!$AA91,0))</f>
        <v/>
      </c>
      <c r="K91" s="13">
        <f>IF(OR(Modelo!$H91=1,Modelo!$Z91=""),"",SUMPRODUCT(POISSON({1,2,3,4,5},Modelo!$Z91,0),POISSON({0,1,2,3,4},Modelo!$AA91,1)))</f>
        <v/>
      </c>
      <c r="L91" s="13">
        <f>IF(OR(Modelo!$H91=1,Modelo!$Z91=""),"",SUMPRODUCT(POISSON({0,1,2,3,4,5},Modelo!$Z91,0),POISSON({0,1,2,3,4,5},Modelo!$AA91,0)))</f>
        <v/>
      </c>
      <c r="M91" s="13">
        <f>IF(OR(Modelo!$H91=1,Modelo!$Z91=""),"",SUMPRODUCT(POISSON({1,2,3,4,5},Modelo!$AA91,0),POISSON({0,1,2,3,4},Modelo!$Z91,1)))</f>
        <v/>
      </c>
    </row>
    <row r="92" ht="15" customHeight="1">
      <c r="A92" s="7">
        <f>Modelo!A92</f>
        <v/>
      </c>
      <c r="B92" s="7">
        <f>Modelo!B92</f>
        <v/>
      </c>
      <c r="C92" s="7">
        <f>Modelo!C92</f>
        <v/>
      </c>
      <c r="D92" s="7">
        <f>Modelo!D92</f>
        <v/>
      </c>
      <c r="E92" s="7">
        <f>Modelo!E92</f>
        <v/>
      </c>
      <c r="F92" s="13">
        <f>IF($K92="","",$K92/($K92+$L92+$M92))</f>
        <v/>
      </c>
      <c r="G92" s="13">
        <f>IF($K92="","",$L92/($K92+$L92+$M92))</f>
        <v/>
      </c>
      <c r="H92" s="13">
        <f>IF($K92="","",$M92/($K92+$L92+$M92))</f>
        <v/>
      </c>
      <c r="I92" s="7">
        <f>IF($K92="","",INT(Modelo!$Z92)&amp;"-"&amp;INT(Modelo!$AA92))</f>
        <v/>
      </c>
      <c r="J92" s="13">
        <f>IF($K92="","",POISSON(INT(Modelo!$Z92),Modelo!$Z92,0)*POISSON(INT(Modelo!$AA92),Modelo!$AA92,0))</f>
        <v/>
      </c>
      <c r="K92" s="13">
        <f>IF(OR(Modelo!$H92=1,Modelo!$Z92=""),"",SUMPRODUCT(POISSON({1,2,3,4,5},Modelo!$Z92,0),POISSON({0,1,2,3,4},Modelo!$AA92,1)))</f>
        <v/>
      </c>
      <c r="L92" s="13">
        <f>IF(OR(Modelo!$H92=1,Modelo!$Z92=""),"",SUMPRODUCT(POISSON({0,1,2,3,4,5},Modelo!$Z92,0),POISSON({0,1,2,3,4,5},Modelo!$AA92,0)))</f>
        <v/>
      </c>
      <c r="M92" s="13">
        <f>IF(OR(Modelo!$H92=1,Modelo!$Z92=""),"",SUMPRODUCT(POISSON({1,2,3,4,5},Modelo!$AA92,0),POISSON({0,1,2,3,4},Modelo!$Z92,1)))</f>
        <v/>
      </c>
    </row>
    <row r="93" ht="15" customHeight="1">
      <c r="A93" s="7">
        <f>Modelo!A93</f>
        <v/>
      </c>
      <c r="B93" s="7">
        <f>Modelo!B93</f>
        <v/>
      </c>
      <c r="C93" s="7">
        <f>Modelo!C93</f>
        <v/>
      </c>
      <c r="D93" s="7">
        <f>Modelo!D93</f>
        <v/>
      </c>
      <c r="E93" s="7">
        <f>Modelo!E93</f>
        <v/>
      </c>
      <c r="F93" s="13">
        <f>IF($K93="","",$K93/($K93+$L93+$M93))</f>
        <v/>
      </c>
      <c r="G93" s="13">
        <f>IF($K93="","",$L93/($K93+$L93+$M93))</f>
        <v/>
      </c>
      <c r="H93" s="13">
        <f>IF($K93="","",$M93/($K93+$L93+$M93))</f>
        <v/>
      </c>
      <c r="I93" s="7">
        <f>IF($K93="","",INT(Modelo!$Z93)&amp;"-"&amp;INT(Modelo!$AA93))</f>
        <v/>
      </c>
      <c r="J93" s="13">
        <f>IF($K93="","",POISSON(INT(Modelo!$Z93),Modelo!$Z93,0)*POISSON(INT(Modelo!$AA93),Modelo!$AA93,0))</f>
        <v/>
      </c>
      <c r="K93" s="13">
        <f>IF(OR(Modelo!$H93=1,Modelo!$Z93=""),"",SUMPRODUCT(POISSON({1,2,3,4,5},Modelo!$Z93,0),POISSON({0,1,2,3,4},Modelo!$AA93,1)))</f>
        <v/>
      </c>
      <c r="L93" s="13">
        <f>IF(OR(Modelo!$H93=1,Modelo!$Z93=""),"",SUMPRODUCT(POISSON({0,1,2,3,4,5},Modelo!$Z93,0),POISSON({0,1,2,3,4,5},Modelo!$AA93,0)))</f>
        <v/>
      </c>
      <c r="M93" s="13">
        <f>IF(OR(Modelo!$H93=1,Modelo!$Z93=""),"",SUMPRODUCT(POISSON({1,2,3,4,5},Modelo!$AA93,0),POISSON({0,1,2,3,4},Modelo!$Z93,1)))</f>
        <v/>
      </c>
    </row>
    <row r="94" ht="15" customHeight="1">
      <c r="A94" s="7">
        <f>Modelo!A94</f>
        <v/>
      </c>
      <c r="B94" s="7">
        <f>Modelo!B94</f>
        <v/>
      </c>
      <c r="C94" s="7">
        <f>Modelo!C94</f>
        <v/>
      </c>
      <c r="D94" s="7">
        <f>Modelo!D94</f>
        <v/>
      </c>
      <c r="E94" s="7">
        <f>Modelo!E94</f>
        <v/>
      </c>
      <c r="F94" s="13">
        <f>IF($K94="","",$K94/($K94+$L94+$M94))</f>
        <v/>
      </c>
      <c r="G94" s="13">
        <f>IF($K94="","",$L94/($K94+$L94+$M94))</f>
        <v/>
      </c>
      <c r="H94" s="13">
        <f>IF($K94="","",$M94/($K94+$L94+$M94))</f>
        <v/>
      </c>
      <c r="I94" s="7">
        <f>IF($K94="","",INT(Modelo!$Z94)&amp;"-"&amp;INT(Modelo!$AA94))</f>
        <v/>
      </c>
      <c r="J94" s="13">
        <f>IF($K94="","",POISSON(INT(Modelo!$Z94),Modelo!$Z94,0)*POISSON(INT(Modelo!$AA94),Modelo!$AA94,0))</f>
        <v/>
      </c>
      <c r="K94" s="13">
        <f>IF(OR(Modelo!$H94=1,Modelo!$Z94=""),"",SUMPRODUCT(POISSON({1,2,3,4,5},Modelo!$Z94,0),POISSON({0,1,2,3,4},Modelo!$AA94,1)))</f>
        <v/>
      </c>
      <c r="L94" s="13">
        <f>IF(OR(Modelo!$H94=1,Modelo!$Z94=""),"",SUMPRODUCT(POISSON({0,1,2,3,4,5},Modelo!$Z94,0),POISSON({0,1,2,3,4,5},Modelo!$AA94,0)))</f>
        <v/>
      </c>
      <c r="M94" s="13">
        <f>IF(OR(Modelo!$H94=1,Modelo!$Z94=""),"",SUMPRODUCT(POISSON({1,2,3,4,5},Modelo!$AA94,0),POISSON({0,1,2,3,4},Modelo!$Z94,1)))</f>
        <v/>
      </c>
    </row>
    <row r="95" ht="15" customHeight="1">
      <c r="A95" s="7">
        <f>Modelo!A95</f>
        <v/>
      </c>
      <c r="B95" s="7">
        <f>Modelo!B95</f>
        <v/>
      </c>
      <c r="C95" s="7">
        <f>Modelo!C95</f>
        <v/>
      </c>
      <c r="D95" s="7">
        <f>Modelo!D95</f>
        <v/>
      </c>
      <c r="E95" s="7">
        <f>Modelo!E95</f>
        <v/>
      </c>
      <c r="F95" s="13">
        <f>IF($K95="","",$K95/($K95+$L95+$M95))</f>
        <v/>
      </c>
      <c r="G95" s="13">
        <f>IF($K95="","",$L95/($K95+$L95+$M95))</f>
        <v/>
      </c>
      <c r="H95" s="13">
        <f>IF($K95="","",$M95/($K95+$L95+$M95))</f>
        <v/>
      </c>
      <c r="I95" s="7">
        <f>IF($K95="","",INT(Modelo!$Z95)&amp;"-"&amp;INT(Modelo!$AA95))</f>
        <v/>
      </c>
      <c r="J95" s="13">
        <f>IF($K95="","",POISSON(INT(Modelo!$Z95),Modelo!$Z95,0)*POISSON(INT(Modelo!$AA95),Modelo!$AA95,0))</f>
        <v/>
      </c>
      <c r="K95" s="13">
        <f>IF(OR(Modelo!$H95=1,Modelo!$Z95=""),"",SUMPRODUCT(POISSON({1,2,3,4,5},Modelo!$Z95,0),POISSON({0,1,2,3,4},Modelo!$AA95,1)))</f>
        <v/>
      </c>
      <c r="L95" s="13">
        <f>IF(OR(Modelo!$H95=1,Modelo!$Z95=""),"",SUMPRODUCT(POISSON({0,1,2,3,4,5},Modelo!$Z95,0),POISSON({0,1,2,3,4,5},Modelo!$AA95,0)))</f>
        <v/>
      </c>
      <c r="M95" s="13">
        <f>IF(OR(Modelo!$H95=1,Modelo!$Z95=""),"",SUMPRODUCT(POISSON({1,2,3,4,5},Modelo!$AA95,0),POISSON({0,1,2,3,4},Modelo!$Z95,1)))</f>
        <v/>
      </c>
    </row>
    <row r="96" ht="15" customHeight="1">
      <c r="A96" s="7">
        <f>Modelo!A96</f>
        <v/>
      </c>
      <c r="B96" s="7">
        <f>Modelo!B96</f>
        <v/>
      </c>
      <c r="C96" s="7">
        <f>Modelo!C96</f>
        <v/>
      </c>
      <c r="D96" s="7">
        <f>Modelo!D96</f>
        <v/>
      </c>
      <c r="E96" s="7">
        <f>Modelo!E96</f>
        <v/>
      </c>
      <c r="F96" s="13">
        <f>IF($K96="","",$K96/($K96+$L96+$M96))</f>
        <v/>
      </c>
      <c r="G96" s="13">
        <f>IF($K96="","",$L96/($K96+$L96+$M96))</f>
        <v/>
      </c>
      <c r="H96" s="13">
        <f>IF($K96="","",$M96/($K96+$L96+$M96))</f>
        <v/>
      </c>
      <c r="I96" s="7">
        <f>IF($K96="","",INT(Modelo!$Z96)&amp;"-"&amp;INT(Modelo!$AA96))</f>
        <v/>
      </c>
      <c r="J96" s="13">
        <f>IF($K96="","",POISSON(INT(Modelo!$Z96),Modelo!$Z96,0)*POISSON(INT(Modelo!$AA96),Modelo!$AA96,0))</f>
        <v/>
      </c>
      <c r="K96" s="13">
        <f>IF(OR(Modelo!$H96=1,Modelo!$Z96=""),"",SUMPRODUCT(POISSON({1,2,3,4,5},Modelo!$Z96,0),POISSON({0,1,2,3,4},Modelo!$AA96,1)))</f>
        <v/>
      </c>
      <c r="L96" s="13">
        <f>IF(OR(Modelo!$H96=1,Modelo!$Z96=""),"",SUMPRODUCT(POISSON({0,1,2,3,4,5},Modelo!$Z96,0),POISSON({0,1,2,3,4,5},Modelo!$AA96,0)))</f>
        <v/>
      </c>
      <c r="M96" s="13">
        <f>IF(OR(Modelo!$H96=1,Modelo!$Z96=""),"",SUMPRODUCT(POISSON({1,2,3,4,5},Modelo!$AA96,0),POISSON({0,1,2,3,4},Modelo!$Z96,1)))</f>
        <v/>
      </c>
    </row>
    <row r="97" ht="15" customHeight="1">
      <c r="A97" s="7">
        <f>Modelo!A97</f>
        <v/>
      </c>
      <c r="B97" s="7">
        <f>Modelo!B97</f>
        <v/>
      </c>
      <c r="C97" s="7">
        <f>Modelo!C97</f>
        <v/>
      </c>
      <c r="D97" s="7">
        <f>Modelo!D97</f>
        <v/>
      </c>
      <c r="E97" s="7">
        <f>Modelo!E97</f>
        <v/>
      </c>
      <c r="F97" s="13">
        <f>IF($K97="","",$K97/($K97+$L97+$M97))</f>
        <v/>
      </c>
      <c r="G97" s="13">
        <f>IF($K97="","",$L97/($K97+$L97+$M97))</f>
        <v/>
      </c>
      <c r="H97" s="13">
        <f>IF($K97="","",$M97/($K97+$L97+$M97))</f>
        <v/>
      </c>
      <c r="I97" s="7">
        <f>IF($K97="","",INT(Modelo!$Z97)&amp;"-"&amp;INT(Modelo!$AA97))</f>
        <v/>
      </c>
      <c r="J97" s="13">
        <f>IF($K97="","",POISSON(INT(Modelo!$Z97),Modelo!$Z97,0)*POISSON(INT(Modelo!$AA97),Modelo!$AA97,0))</f>
        <v/>
      </c>
      <c r="K97" s="13">
        <f>IF(OR(Modelo!$H97=1,Modelo!$Z97=""),"",SUMPRODUCT(POISSON({1,2,3,4,5},Modelo!$Z97,0),POISSON({0,1,2,3,4},Modelo!$AA97,1)))</f>
        <v/>
      </c>
      <c r="L97" s="13">
        <f>IF(OR(Modelo!$H97=1,Modelo!$Z97=""),"",SUMPRODUCT(POISSON({0,1,2,3,4,5},Modelo!$Z97,0),POISSON({0,1,2,3,4,5},Modelo!$AA97,0)))</f>
        <v/>
      </c>
      <c r="M97" s="13">
        <f>IF(OR(Modelo!$H97=1,Modelo!$Z97=""),"",SUMPRODUCT(POISSON({1,2,3,4,5},Modelo!$AA97,0),POISSON({0,1,2,3,4},Modelo!$Z97,1)))</f>
        <v/>
      </c>
    </row>
    <row r="98" ht="15" customHeight="1">
      <c r="A98" s="7">
        <f>Modelo!A98</f>
        <v/>
      </c>
      <c r="B98" s="7">
        <f>Modelo!B98</f>
        <v/>
      </c>
      <c r="C98" s="7">
        <f>Modelo!C98</f>
        <v/>
      </c>
      <c r="D98" s="7">
        <f>Modelo!D98</f>
        <v/>
      </c>
      <c r="E98" s="7">
        <f>Modelo!E98</f>
        <v/>
      </c>
      <c r="F98" s="13">
        <f>IF($K98="","",$K98/($K98+$L98+$M98))</f>
        <v/>
      </c>
      <c r="G98" s="13">
        <f>IF($K98="","",$L98/($K98+$L98+$M98))</f>
        <v/>
      </c>
      <c r="H98" s="13">
        <f>IF($K98="","",$M98/($K98+$L98+$M98))</f>
        <v/>
      </c>
      <c r="I98" s="7">
        <f>IF($K98="","",INT(Modelo!$Z98)&amp;"-"&amp;INT(Modelo!$AA98))</f>
        <v/>
      </c>
      <c r="J98" s="13">
        <f>IF($K98="","",POISSON(INT(Modelo!$Z98),Modelo!$Z98,0)*POISSON(INT(Modelo!$AA98),Modelo!$AA98,0))</f>
        <v/>
      </c>
      <c r="K98" s="13">
        <f>IF(OR(Modelo!$H98=1,Modelo!$Z98=""),"",SUMPRODUCT(POISSON({1,2,3,4,5},Modelo!$Z98,0),POISSON({0,1,2,3,4},Modelo!$AA98,1)))</f>
        <v/>
      </c>
      <c r="L98" s="13">
        <f>IF(OR(Modelo!$H98=1,Modelo!$Z98=""),"",SUMPRODUCT(POISSON({0,1,2,3,4,5},Modelo!$Z98,0),POISSON({0,1,2,3,4,5},Modelo!$AA98,0)))</f>
        <v/>
      </c>
      <c r="M98" s="13">
        <f>IF(OR(Modelo!$H98=1,Modelo!$Z98=""),"",SUMPRODUCT(POISSON({1,2,3,4,5},Modelo!$AA98,0),POISSON({0,1,2,3,4},Modelo!$Z98,1)))</f>
        <v/>
      </c>
    </row>
    <row r="99" ht="15" customHeight="1">
      <c r="A99" s="7">
        <f>Modelo!A99</f>
        <v/>
      </c>
      <c r="B99" s="7">
        <f>Modelo!B99</f>
        <v/>
      </c>
      <c r="C99" s="7">
        <f>Modelo!C99</f>
        <v/>
      </c>
      <c r="D99" s="7">
        <f>Modelo!D99</f>
        <v/>
      </c>
      <c r="E99" s="7">
        <f>Modelo!E99</f>
        <v/>
      </c>
      <c r="F99" s="13">
        <f>IF($K99="","",$K99/($K99+$L99+$M99))</f>
        <v/>
      </c>
      <c r="G99" s="13">
        <f>IF($K99="","",$L99/($K99+$L99+$M99))</f>
        <v/>
      </c>
      <c r="H99" s="13">
        <f>IF($K99="","",$M99/($K99+$L99+$M99))</f>
        <v/>
      </c>
      <c r="I99" s="7">
        <f>IF($K99="","",INT(Modelo!$Z99)&amp;"-"&amp;INT(Modelo!$AA99))</f>
        <v/>
      </c>
      <c r="J99" s="13">
        <f>IF($K99="","",POISSON(INT(Modelo!$Z99),Modelo!$Z99,0)*POISSON(INT(Modelo!$AA99),Modelo!$AA99,0))</f>
        <v/>
      </c>
      <c r="K99" s="13">
        <f>IF(OR(Modelo!$H99=1,Modelo!$Z99=""),"",SUMPRODUCT(POISSON({1,2,3,4,5},Modelo!$Z99,0),POISSON({0,1,2,3,4},Modelo!$AA99,1)))</f>
        <v/>
      </c>
      <c r="L99" s="13">
        <f>IF(OR(Modelo!$H99=1,Modelo!$Z99=""),"",SUMPRODUCT(POISSON({0,1,2,3,4,5},Modelo!$Z99,0),POISSON({0,1,2,3,4,5},Modelo!$AA99,0)))</f>
        <v/>
      </c>
      <c r="M99" s="13">
        <f>IF(OR(Modelo!$H99=1,Modelo!$Z99=""),"",SUMPRODUCT(POISSON({1,2,3,4,5},Modelo!$AA99,0),POISSON({0,1,2,3,4},Modelo!$Z99,1)))</f>
        <v/>
      </c>
    </row>
    <row r="100" ht="15" customHeight="1">
      <c r="A100" s="7">
        <f>Modelo!A100</f>
        <v/>
      </c>
      <c r="B100" s="7">
        <f>Modelo!B100</f>
        <v/>
      </c>
      <c r="C100" s="7">
        <f>Modelo!C100</f>
        <v/>
      </c>
      <c r="D100" s="7">
        <f>Modelo!D100</f>
        <v/>
      </c>
      <c r="E100" s="7">
        <f>Modelo!E100</f>
        <v/>
      </c>
      <c r="F100" s="13">
        <f>IF($K100="","",$K100/($K100+$L100+$M100))</f>
        <v/>
      </c>
      <c r="G100" s="13">
        <f>IF($K100="","",$L100/($K100+$L100+$M100))</f>
        <v/>
      </c>
      <c r="H100" s="13">
        <f>IF($K100="","",$M100/($K100+$L100+$M100))</f>
        <v/>
      </c>
      <c r="I100" s="7">
        <f>IF($K100="","",INT(Modelo!$Z100)&amp;"-"&amp;INT(Modelo!$AA100))</f>
        <v/>
      </c>
      <c r="J100" s="13">
        <f>IF($K100="","",POISSON(INT(Modelo!$Z100),Modelo!$Z100,0)*POISSON(INT(Modelo!$AA100),Modelo!$AA100,0))</f>
        <v/>
      </c>
      <c r="K100" s="13">
        <f>IF(OR(Modelo!$H100=1,Modelo!$Z100=""),"",SUMPRODUCT(POISSON({1,2,3,4,5},Modelo!$Z100,0),POISSON({0,1,2,3,4},Modelo!$AA100,1)))</f>
        <v/>
      </c>
      <c r="L100" s="13">
        <f>IF(OR(Modelo!$H100=1,Modelo!$Z100=""),"",SUMPRODUCT(POISSON({0,1,2,3,4,5},Modelo!$Z100,0),POISSON({0,1,2,3,4,5},Modelo!$AA100,0)))</f>
        <v/>
      </c>
      <c r="M100" s="13">
        <f>IF(OR(Modelo!$H100=1,Modelo!$Z100=""),"",SUMPRODUCT(POISSON({1,2,3,4,5},Modelo!$AA100,0),POISSON({0,1,2,3,4},Modelo!$Z100,1)))</f>
        <v/>
      </c>
    </row>
    <row r="101" ht="15" customHeight="1">
      <c r="A101" s="7">
        <f>Modelo!A101</f>
        <v/>
      </c>
      <c r="B101" s="7">
        <f>Modelo!B101</f>
        <v/>
      </c>
      <c r="C101" s="7">
        <f>Modelo!C101</f>
        <v/>
      </c>
      <c r="D101" s="7">
        <f>Modelo!D101</f>
        <v/>
      </c>
      <c r="E101" s="7">
        <f>Modelo!E101</f>
        <v/>
      </c>
      <c r="F101" s="13">
        <f>IF($K101="","",$K101/($K101+$L101+$M101))</f>
        <v/>
      </c>
      <c r="G101" s="13">
        <f>IF($K101="","",$L101/($K101+$L101+$M101))</f>
        <v/>
      </c>
      <c r="H101" s="13">
        <f>IF($K101="","",$M101/($K101+$L101+$M101))</f>
        <v/>
      </c>
      <c r="I101" s="7">
        <f>IF($K101="","",INT(Modelo!$Z101)&amp;"-"&amp;INT(Modelo!$AA101))</f>
        <v/>
      </c>
      <c r="J101" s="13">
        <f>IF($K101="","",POISSON(INT(Modelo!$Z101),Modelo!$Z101,0)*POISSON(INT(Modelo!$AA101),Modelo!$AA101,0))</f>
        <v/>
      </c>
      <c r="K101" s="13">
        <f>IF(OR(Modelo!$H101=1,Modelo!$Z101=""),"",SUMPRODUCT(POISSON({1,2,3,4,5},Modelo!$Z101,0),POISSON({0,1,2,3,4},Modelo!$AA101,1)))</f>
        <v/>
      </c>
      <c r="L101" s="13">
        <f>IF(OR(Modelo!$H101=1,Modelo!$Z101=""),"",SUMPRODUCT(POISSON({0,1,2,3,4,5},Modelo!$Z101,0),POISSON({0,1,2,3,4,5},Modelo!$AA101,0)))</f>
        <v/>
      </c>
      <c r="M101" s="13">
        <f>IF(OR(Modelo!$H101=1,Modelo!$Z101=""),"",SUMPRODUCT(POISSON({1,2,3,4,5},Modelo!$AA101,0),POISSON({0,1,2,3,4},Modelo!$Z101,1)))</f>
        <v/>
      </c>
    </row>
    <row r="102" ht="15" customHeight="1">
      <c r="A102" s="7">
        <f>Modelo!A102</f>
        <v/>
      </c>
      <c r="B102" s="7">
        <f>Modelo!B102</f>
        <v/>
      </c>
      <c r="C102" s="7">
        <f>Modelo!C102</f>
        <v/>
      </c>
      <c r="D102" s="7">
        <f>Modelo!D102</f>
        <v/>
      </c>
      <c r="E102" s="7">
        <f>Modelo!E102</f>
        <v/>
      </c>
      <c r="F102" s="13">
        <f>IF($K102="","",$K102/($K102+$L102+$M102))</f>
        <v/>
      </c>
      <c r="G102" s="13">
        <f>IF($K102="","",$L102/($K102+$L102+$M102))</f>
        <v/>
      </c>
      <c r="H102" s="13">
        <f>IF($K102="","",$M102/($K102+$L102+$M102))</f>
        <v/>
      </c>
      <c r="I102" s="7">
        <f>IF($K102="","",INT(Modelo!$Z102)&amp;"-"&amp;INT(Modelo!$AA102))</f>
        <v/>
      </c>
      <c r="J102" s="13">
        <f>IF($K102="","",POISSON(INT(Modelo!$Z102),Modelo!$Z102,0)*POISSON(INT(Modelo!$AA102),Modelo!$AA102,0))</f>
        <v/>
      </c>
      <c r="K102" s="13">
        <f>IF(OR(Modelo!$H102=1,Modelo!$Z102=""),"",SUMPRODUCT(POISSON({1,2,3,4,5},Modelo!$Z102,0),POISSON({0,1,2,3,4},Modelo!$AA102,1)))</f>
        <v/>
      </c>
      <c r="L102" s="13">
        <f>IF(OR(Modelo!$H102=1,Modelo!$Z102=""),"",SUMPRODUCT(POISSON({0,1,2,3,4,5},Modelo!$Z102,0),POISSON({0,1,2,3,4,5},Modelo!$AA102,0)))</f>
        <v/>
      </c>
      <c r="M102" s="13">
        <f>IF(OR(Modelo!$H102=1,Modelo!$Z102=""),"",SUMPRODUCT(POISSON({1,2,3,4,5},Modelo!$AA102,0),POISSON({0,1,2,3,4},Modelo!$Z102,1)))</f>
        <v/>
      </c>
    </row>
    <row r="103" ht="15" customHeight="1">
      <c r="A103" s="7">
        <f>Modelo!A103</f>
        <v/>
      </c>
      <c r="B103" s="7">
        <f>Modelo!B103</f>
        <v/>
      </c>
      <c r="C103" s="7">
        <f>Modelo!C103</f>
        <v/>
      </c>
      <c r="D103" s="7">
        <f>Modelo!D103</f>
        <v/>
      </c>
      <c r="E103" s="7">
        <f>Modelo!E103</f>
        <v/>
      </c>
      <c r="F103" s="13">
        <f>IF($K103="","",$K103/($K103+$L103+$M103))</f>
        <v/>
      </c>
      <c r="G103" s="13">
        <f>IF($K103="","",$L103/($K103+$L103+$M103))</f>
        <v/>
      </c>
      <c r="H103" s="13">
        <f>IF($K103="","",$M103/($K103+$L103+$M103))</f>
        <v/>
      </c>
      <c r="I103" s="7">
        <f>IF($K103="","",INT(Modelo!$Z103)&amp;"-"&amp;INT(Modelo!$AA103))</f>
        <v/>
      </c>
      <c r="J103" s="13">
        <f>IF($K103="","",POISSON(INT(Modelo!$Z103),Modelo!$Z103,0)*POISSON(INT(Modelo!$AA103),Modelo!$AA103,0))</f>
        <v/>
      </c>
      <c r="K103" s="13">
        <f>IF(OR(Modelo!$H103=1,Modelo!$Z103=""),"",SUMPRODUCT(POISSON({1,2,3,4,5},Modelo!$Z103,0),POISSON({0,1,2,3,4},Modelo!$AA103,1)))</f>
        <v/>
      </c>
      <c r="L103" s="13">
        <f>IF(OR(Modelo!$H103=1,Modelo!$Z103=""),"",SUMPRODUCT(POISSON({0,1,2,3,4,5},Modelo!$Z103,0),POISSON({0,1,2,3,4,5},Modelo!$AA103,0)))</f>
        <v/>
      </c>
      <c r="M103" s="13">
        <f>IF(OR(Modelo!$H103=1,Modelo!$Z103=""),"",SUMPRODUCT(POISSON({1,2,3,4,5},Modelo!$AA103,0),POISSON({0,1,2,3,4},Modelo!$Z103,1)))</f>
        <v/>
      </c>
    </row>
    <row r="104" ht="15" customHeight="1">
      <c r="A104" s="7">
        <f>Modelo!A104</f>
        <v/>
      </c>
      <c r="B104" s="7">
        <f>Modelo!B104</f>
        <v/>
      </c>
      <c r="C104" s="7">
        <f>Modelo!C104</f>
        <v/>
      </c>
      <c r="D104" s="7">
        <f>Modelo!D104</f>
        <v/>
      </c>
      <c r="E104" s="7">
        <f>Modelo!E104</f>
        <v/>
      </c>
      <c r="F104" s="13">
        <f>IF($K104="","",$K104/($K104+$L104+$M104))</f>
        <v/>
      </c>
      <c r="G104" s="13">
        <f>IF($K104="","",$L104/($K104+$L104+$M104))</f>
        <v/>
      </c>
      <c r="H104" s="13">
        <f>IF($K104="","",$M104/($K104+$L104+$M104))</f>
        <v/>
      </c>
      <c r="I104" s="7">
        <f>IF($K104="","",INT(Modelo!$Z104)&amp;"-"&amp;INT(Modelo!$AA104))</f>
        <v/>
      </c>
      <c r="J104" s="13">
        <f>IF($K104="","",POISSON(INT(Modelo!$Z104),Modelo!$Z104,0)*POISSON(INT(Modelo!$AA104),Modelo!$AA104,0))</f>
        <v/>
      </c>
      <c r="K104" s="13">
        <f>IF(OR(Modelo!$H104=1,Modelo!$Z104=""),"",SUMPRODUCT(POISSON({1,2,3,4,5},Modelo!$Z104,0),POISSON({0,1,2,3,4},Modelo!$AA104,1)))</f>
        <v/>
      </c>
      <c r="L104" s="13">
        <f>IF(OR(Modelo!$H104=1,Modelo!$Z104=""),"",SUMPRODUCT(POISSON({0,1,2,3,4,5},Modelo!$Z104,0),POISSON({0,1,2,3,4,5},Modelo!$AA104,0)))</f>
        <v/>
      </c>
      <c r="M104" s="13">
        <f>IF(OR(Modelo!$H104=1,Modelo!$Z104=""),"",SUMPRODUCT(POISSON({1,2,3,4,5},Modelo!$AA104,0),POISSON({0,1,2,3,4},Modelo!$Z104,1)))</f>
        <v/>
      </c>
    </row>
    <row r="105" ht="15" customHeight="1">
      <c r="A105" s="7">
        <f>Modelo!A105</f>
        <v/>
      </c>
      <c r="B105" s="7">
        <f>Modelo!B105</f>
        <v/>
      </c>
      <c r="C105" s="7">
        <f>Modelo!C105</f>
        <v/>
      </c>
      <c r="D105" s="7">
        <f>Modelo!D105</f>
        <v/>
      </c>
      <c r="E105" s="7">
        <f>Modelo!E105</f>
        <v/>
      </c>
      <c r="F105" s="13">
        <f>IF($K105="","",$K105/($K105+$L105+$M105))</f>
        <v/>
      </c>
      <c r="G105" s="13">
        <f>IF($K105="","",$L105/($K105+$L105+$M105))</f>
        <v/>
      </c>
      <c r="H105" s="13">
        <f>IF($K105="","",$M105/($K105+$L105+$M105))</f>
        <v/>
      </c>
      <c r="I105" s="7">
        <f>IF($K105="","",INT(Modelo!$Z105)&amp;"-"&amp;INT(Modelo!$AA105))</f>
        <v/>
      </c>
      <c r="J105" s="13">
        <f>IF($K105="","",POISSON(INT(Modelo!$Z105),Modelo!$Z105,0)*POISSON(INT(Modelo!$AA105),Modelo!$AA105,0))</f>
        <v/>
      </c>
      <c r="K105" s="13">
        <f>IF(OR(Modelo!$H105=1,Modelo!$Z105=""),"",SUMPRODUCT(POISSON({1,2,3,4,5},Modelo!$Z105,0),POISSON({0,1,2,3,4},Modelo!$AA105,1)))</f>
        <v/>
      </c>
      <c r="L105" s="13">
        <f>IF(OR(Modelo!$H105=1,Modelo!$Z105=""),"",SUMPRODUCT(POISSON({0,1,2,3,4,5},Modelo!$Z105,0),POISSON({0,1,2,3,4,5},Modelo!$AA105,0)))</f>
        <v/>
      </c>
      <c r="M105" s="13">
        <f>IF(OR(Modelo!$H105=1,Modelo!$Z105=""),"",SUMPRODUCT(POISSON({1,2,3,4,5},Modelo!$AA105,0),POISSON({0,1,2,3,4},Modelo!$Z105,1)))</f>
        <v/>
      </c>
    </row>
    <row r="106" ht="15" customHeight="1">
      <c r="A106" s="7">
        <f>Modelo!A106</f>
        <v/>
      </c>
      <c r="B106" s="7">
        <f>Modelo!B106</f>
        <v/>
      </c>
      <c r="C106" s="7">
        <f>Modelo!C106</f>
        <v/>
      </c>
      <c r="D106" s="7">
        <f>Modelo!D106</f>
        <v/>
      </c>
      <c r="E106" s="7">
        <f>Modelo!E106</f>
        <v/>
      </c>
      <c r="F106" s="13">
        <f>IF($K106="","",$K106/($K106+$L106+$M106))</f>
        <v/>
      </c>
      <c r="G106" s="13">
        <f>IF($K106="","",$L106/($K106+$L106+$M106))</f>
        <v/>
      </c>
      <c r="H106" s="13">
        <f>IF($K106="","",$M106/($K106+$L106+$M106))</f>
        <v/>
      </c>
      <c r="I106" s="7">
        <f>IF($K106="","",INT(Modelo!$Z106)&amp;"-"&amp;INT(Modelo!$AA106))</f>
        <v/>
      </c>
      <c r="J106" s="13">
        <f>IF($K106="","",POISSON(INT(Modelo!$Z106),Modelo!$Z106,0)*POISSON(INT(Modelo!$AA106),Modelo!$AA106,0))</f>
        <v/>
      </c>
      <c r="K106" s="13">
        <f>IF(OR(Modelo!$H106=1,Modelo!$Z106=""),"",SUMPRODUCT(POISSON({1,2,3,4,5},Modelo!$Z106,0),POISSON({0,1,2,3,4},Modelo!$AA106,1)))</f>
        <v/>
      </c>
      <c r="L106" s="13">
        <f>IF(OR(Modelo!$H106=1,Modelo!$Z106=""),"",SUMPRODUCT(POISSON({0,1,2,3,4,5},Modelo!$Z106,0),POISSON({0,1,2,3,4,5},Modelo!$AA106,0)))</f>
        <v/>
      </c>
      <c r="M106" s="13">
        <f>IF(OR(Modelo!$H106=1,Modelo!$Z106=""),"",SUMPRODUCT(POISSON({1,2,3,4,5},Modelo!$AA106,0),POISSON({0,1,2,3,4},Modelo!$Z106,1)))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1F4E78"/>
    <outlinePr summaryBelow="1" summaryRight="1"/>
    <pageSetUpPr/>
  </sheetPr>
  <dimension ref="A1:Q135"/>
  <sheetViews>
    <sheetView zoomScaleNormal="100" workbookViewId="0">
      <selection activeCell="A1" sqref="A1"/>
    </sheetView>
  </sheetViews>
  <sheetFormatPr baseColWidth="10" defaultColWidth="8.6640625" defaultRowHeight="14.25"/>
  <cols>
    <col width="9" customWidth="1" min="1" max="1"/>
    <col width="6" customWidth="1" min="2" max="2"/>
    <col width="11" customWidth="1" min="3" max="3"/>
    <col width="12" customWidth="1" min="4" max="5"/>
    <col width="18" customWidth="1" min="6" max="9"/>
    <col width="12" customWidth="1" min="10" max="10"/>
    <col width="5" customWidth="1" min="12" max="17"/>
  </cols>
  <sheetData>
    <row r="1" ht="15" customHeight="1">
      <c r="A1" s="4" t="inlineStr">
        <is>
          <t>TABLAS DE GRUPOS (en vivo desde Resultados) — Desempate implementado: Pts → DG → GF. Head-to-head y fair play NO automatizados: verificar manualmente ante empate exacto.</t>
        </is>
      </c>
    </row>
    <row r="3" ht="15" customHeight="1">
      <c r="A3" s="5" t="inlineStr">
        <is>
          <t>GRUPO A</t>
        </is>
      </c>
    </row>
    <row r="4" ht="15" customHeight="1">
      <c r="A4" s="1" t="inlineStr">
        <is>
          <t>Equipo</t>
        </is>
      </c>
      <c r="B4" s="1" t="inlineStr">
        <is>
          <t>PJ</t>
        </is>
      </c>
      <c r="C4" s="1" t="inlineStr">
        <is>
          <t>PG</t>
        </is>
      </c>
      <c r="D4" s="1" t="inlineStr">
        <is>
          <t>PE</t>
        </is>
      </c>
      <c r="E4" s="1" t="inlineStr">
        <is>
          <t>PP</t>
        </is>
      </c>
      <c r="F4" s="1" t="inlineStr">
        <is>
          <t>GF</t>
        </is>
      </c>
      <c r="G4" s="1" t="inlineStr">
        <is>
          <t>GC</t>
        </is>
      </c>
      <c r="H4" s="1" t="inlineStr">
        <is>
          <t>DG</t>
        </is>
      </c>
      <c r="I4" s="1" t="inlineStr">
        <is>
          <t>Pts</t>
        </is>
      </c>
      <c r="J4" s="1" t="inlineStr">
        <is>
          <t>Pos</t>
        </is>
      </c>
      <c r="K4" s="1" t="inlineStr">
        <is>
          <t>Score</t>
        </is>
      </c>
    </row>
    <row r="5" ht="15" customHeight="1">
      <c r="A5" s="7" t="inlineStr">
        <is>
          <t>México</t>
        </is>
      </c>
      <c r="B5" s="16">
        <f>SUMPRODUCT((Modelo!$C$3:$C$106="Grupos")*((Modelo!$D$3:$D$106=$A5)+(Modelo!$E$3:$E$106=$A5))*Modelo!$H$3:$H$106)</f>
        <v/>
      </c>
      <c r="C5" s="16">
        <f>SUMPRODUCT((Modelo!$C$3:$C$106="Grupos")*(Modelo!$D$3:$D$106=$A5)*Modelo!$H$3:$H$106*(Modelo!$I$3:$I$106&gt;Modelo!$J$3:$J$106))+SUMPRODUCT((Modelo!$C$3:$C$106="Grupos")*(Modelo!$E$3:$E$106=$A5)*Modelo!$H$3:$H$106*(Modelo!$J$3:$J$106&gt;Modelo!$I$3:$I$106))</f>
        <v/>
      </c>
      <c r="D5" s="16">
        <f>SUMPRODUCT((Modelo!$C$3:$C$106="Grupos")*((Modelo!$D$3:$D$106=$A5)+(Modelo!$E$3:$E$106=$A5))*Modelo!$H$3:$H$106*(Modelo!$I$3:$I$106=Modelo!$J$3:$J$106))</f>
        <v/>
      </c>
      <c r="E5" s="16">
        <f>$B5-$C5-$D5</f>
        <v/>
      </c>
      <c r="F5" s="16">
        <f>SUMPRODUCT((Modelo!$C$3:$C$106="Grupos")*(Modelo!$D$3:$D$106=$A5)*Modelo!$H$3:$H$106*Modelo!$I$3:$I$106)+SUMPRODUCT((Modelo!$C$3:$C$106="Grupos")*(Modelo!$E$3:$E$106=$A5)*Modelo!$H$3:$H$106*Modelo!$J$3:$J$106)</f>
        <v/>
      </c>
      <c r="G5" s="16">
        <f>SUMPRODUCT((Modelo!$C$3:$C$106="Grupos")*(Modelo!$D$3:$D$106=$A5)*Modelo!$H$3:$H$106*Modelo!$J$3:$J$106)+SUMPRODUCT((Modelo!$C$3:$C$106="Grupos")*(Modelo!$E$3:$E$106=$A5)*Modelo!$H$3:$H$106*Modelo!$I$3:$I$106)</f>
        <v/>
      </c>
      <c r="H5" s="16">
        <f>$F5-$G5</f>
        <v/>
      </c>
      <c r="I5" s="16">
        <f>3*$C5+$D5</f>
        <v/>
      </c>
      <c r="J5" s="16">
        <f>1+SUMPRODUCT(($K$5:$K$8&gt;$K5)*1)</f>
        <v/>
      </c>
      <c r="K5" s="16">
        <f>$I5*1000000+($H5+200)*1000+$F5</f>
        <v/>
      </c>
    </row>
    <row r="6" ht="15" customHeight="1">
      <c r="A6" s="7" t="inlineStr">
        <is>
          <t>Sudáfrica</t>
        </is>
      </c>
      <c r="B6" s="16">
        <f>SUMPRODUCT((Modelo!$C$3:$C$106="Grupos")*((Modelo!$D$3:$D$106=$A6)+(Modelo!$E$3:$E$106=$A6))*Modelo!$H$3:$H$106)</f>
        <v/>
      </c>
      <c r="C6" s="16">
        <f>SUMPRODUCT((Modelo!$C$3:$C$106="Grupos")*(Modelo!$D$3:$D$106=$A6)*Modelo!$H$3:$H$106*(Modelo!$I$3:$I$106&gt;Modelo!$J$3:$J$106))+SUMPRODUCT((Modelo!$C$3:$C$106="Grupos")*(Modelo!$E$3:$E$106=$A6)*Modelo!$H$3:$H$106*(Modelo!$J$3:$J$106&gt;Modelo!$I$3:$I$106))</f>
        <v/>
      </c>
      <c r="D6" s="16">
        <f>SUMPRODUCT((Modelo!$C$3:$C$106="Grupos")*((Modelo!$D$3:$D$106=$A6)+(Modelo!$E$3:$E$106=$A6))*Modelo!$H$3:$H$106*(Modelo!$I$3:$I$106=Modelo!$J$3:$J$106))</f>
        <v/>
      </c>
      <c r="E6" s="16">
        <f>$B6-$C6-$D6</f>
        <v/>
      </c>
      <c r="F6" s="16">
        <f>SUMPRODUCT((Modelo!$C$3:$C$106="Grupos")*(Modelo!$D$3:$D$106=$A6)*Modelo!$H$3:$H$106*Modelo!$I$3:$I$106)+SUMPRODUCT((Modelo!$C$3:$C$106="Grupos")*(Modelo!$E$3:$E$106=$A6)*Modelo!$H$3:$H$106*Modelo!$J$3:$J$106)</f>
        <v/>
      </c>
      <c r="G6" s="16">
        <f>SUMPRODUCT((Modelo!$C$3:$C$106="Grupos")*(Modelo!$D$3:$D$106=$A6)*Modelo!$H$3:$H$106*Modelo!$J$3:$J$106)+SUMPRODUCT((Modelo!$C$3:$C$106="Grupos")*(Modelo!$E$3:$E$106=$A6)*Modelo!$H$3:$H$106*Modelo!$I$3:$I$106)</f>
        <v/>
      </c>
      <c r="H6" s="16">
        <f>$F6-$G6</f>
        <v/>
      </c>
      <c r="I6" s="16">
        <f>3*$C6+$D6</f>
        <v/>
      </c>
      <c r="J6" s="16">
        <f>1+SUMPRODUCT(($K$5:$K$8&gt;$K6)*1)</f>
        <v/>
      </c>
      <c r="K6" s="16">
        <f>$I6*1000000+($H6+200)*1000+$F6</f>
        <v/>
      </c>
    </row>
    <row r="7" ht="15" customHeight="1">
      <c r="A7" s="7" t="inlineStr">
        <is>
          <t>Corea del Sur</t>
        </is>
      </c>
      <c r="B7" s="16">
        <f>SUMPRODUCT((Modelo!$C$3:$C$106="Grupos")*((Modelo!$D$3:$D$106=$A7)+(Modelo!$E$3:$E$106=$A7))*Modelo!$H$3:$H$106)</f>
        <v/>
      </c>
      <c r="C7" s="16">
        <f>SUMPRODUCT((Modelo!$C$3:$C$106="Grupos")*(Modelo!$D$3:$D$106=$A7)*Modelo!$H$3:$H$106*(Modelo!$I$3:$I$106&gt;Modelo!$J$3:$J$106))+SUMPRODUCT((Modelo!$C$3:$C$106="Grupos")*(Modelo!$E$3:$E$106=$A7)*Modelo!$H$3:$H$106*(Modelo!$J$3:$J$106&gt;Modelo!$I$3:$I$106))</f>
        <v/>
      </c>
      <c r="D7" s="16">
        <f>SUMPRODUCT((Modelo!$C$3:$C$106="Grupos")*((Modelo!$D$3:$D$106=$A7)+(Modelo!$E$3:$E$106=$A7))*Modelo!$H$3:$H$106*(Modelo!$I$3:$I$106=Modelo!$J$3:$J$106))</f>
        <v/>
      </c>
      <c r="E7" s="16">
        <f>$B7-$C7-$D7</f>
        <v/>
      </c>
      <c r="F7" s="16">
        <f>SUMPRODUCT((Modelo!$C$3:$C$106="Grupos")*(Modelo!$D$3:$D$106=$A7)*Modelo!$H$3:$H$106*Modelo!$I$3:$I$106)+SUMPRODUCT((Modelo!$C$3:$C$106="Grupos")*(Modelo!$E$3:$E$106=$A7)*Modelo!$H$3:$H$106*Modelo!$J$3:$J$106)</f>
        <v/>
      </c>
      <c r="G7" s="16">
        <f>SUMPRODUCT((Modelo!$C$3:$C$106="Grupos")*(Modelo!$D$3:$D$106=$A7)*Modelo!$H$3:$H$106*Modelo!$J$3:$J$106)+SUMPRODUCT((Modelo!$C$3:$C$106="Grupos")*(Modelo!$E$3:$E$106=$A7)*Modelo!$H$3:$H$106*Modelo!$I$3:$I$106)</f>
        <v/>
      </c>
      <c r="H7" s="16">
        <f>$F7-$G7</f>
        <v/>
      </c>
      <c r="I7" s="16">
        <f>3*$C7+$D7</f>
        <v/>
      </c>
      <c r="J7" s="16">
        <f>1+SUMPRODUCT(($K$5:$K$8&gt;$K7)*1)</f>
        <v/>
      </c>
      <c r="K7" s="16">
        <f>$I7*1000000+($H7+200)*1000+$F7</f>
        <v/>
      </c>
    </row>
    <row r="8" ht="15" customHeight="1">
      <c r="A8" s="7" t="inlineStr">
        <is>
          <t>Chequia</t>
        </is>
      </c>
      <c r="B8" s="16">
        <f>SUMPRODUCT((Modelo!$C$3:$C$106="Grupos")*((Modelo!$D$3:$D$106=$A8)+(Modelo!$E$3:$E$106=$A8))*Modelo!$H$3:$H$106)</f>
        <v/>
      </c>
      <c r="C8" s="16">
        <f>SUMPRODUCT((Modelo!$C$3:$C$106="Grupos")*(Modelo!$D$3:$D$106=$A8)*Modelo!$H$3:$H$106*(Modelo!$I$3:$I$106&gt;Modelo!$J$3:$J$106))+SUMPRODUCT((Modelo!$C$3:$C$106="Grupos")*(Modelo!$E$3:$E$106=$A8)*Modelo!$H$3:$H$106*(Modelo!$J$3:$J$106&gt;Modelo!$I$3:$I$106))</f>
        <v/>
      </c>
      <c r="D8" s="16">
        <f>SUMPRODUCT((Modelo!$C$3:$C$106="Grupos")*((Modelo!$D$3:$D$106=$A8)+(Modelo!$E$3:$E$106=$A8))*Modelo!$H$3:$H$106*(Modelo!$I$3:$I$106=Modelo!$J$3:$J$106))</f>
        <v/>
      </c>
      <c r="E8" s="16">
        <f>$B8-$C8-$D8</f>
        <v/>
      </c>
      <c r="F8" s="16">
        <f>SUMPRODUCT((Modelo!$C$3:$C$106="Grupos")*(Modelo!$D$3:$D$106=$A8)*Modelo!$H$3:$H$106*Modelo!$I$3:$I$106)+SUMPRODUCT((Modelo!$C$3:$C$106="Grupos")*(Modelo!$E$3:$E$106=$A8)*Modelo!$H$3:$H$106*Modelo!$J$3:$J$106)</f>
        <v/>
      </c>
      <c r="G8" s="16">
        <f>SUMPRODUCT((Modelo!$C$3:$C$106="Grupos")*(Modelo!$D$3:$D$106=$A8)*Modelo!$H$3:$H$106*Modelo!$J$3:$J$106)+SUMPRODUCT((Modelo!$C$3:$C$106="Grupos")*(Modelo!$E$3:$E$106=$A8)*Modelo!$H$3:$H$106*Modelo!$I$3:$I$106)</f>
        <v/>
      </c>
      <c r="H8" s="16">
        <f>$F8-$G8</f>
        <v/>
      </c>
      <c r="I8" s="16">
        <f>3*$C8+$D8</f>
        <v/>
      </c>
      <c r="J8" s="16">
        <f>1+SUMPRODUCT(($K$5:$K$8&gt;$K8)*1)</f>
        <v/>
      </c>
      <c r="K8" s="16">
        <f>$I8*1000000+($H8+200)*1000+$F8</f>
        <v/>
      </c>
    </row>
    <row r="10" ht="15" customHeight="1">
      <c r="A10" s="5" t="inlineStr">
        <is>
          <t>GRUPO B</t>
        </is>
      </c>
    </row>
    <row r="11" ht="15" customHeight="1">
      <c r="A11" s="1" t="inlineStr">
        <is>
          <t>Equipo</t>
        </is>
      </c>
      <c r="B11" s="1" t="inlineStr">
        <is>
          <t>PJ</t>
        </is>
      </c>
      <c r="C11" s="1" t="inlineStr">
        <is>
          <t>PG</t>
        </is>
      </c>
      <c r="D11" s="1" t="inlineStr">
        <is>
          <t>PE</t>
        </is>
      </c>
      <c r="E11" s="1" t="inlineStr">
        <is>
          <t>PP</t>
        </is>
      </c>
      <c r="F11" s="1" t="inlineStr">
        <is>
          <t>GF</t>
        </is>
      </c>
      <c r="G11" s="1" t="inlineStr">
        <is>
          <t>GC</t>
        </is>
      </c>
      <c r="H11" s="1" t="inlineStr">
        <is>
          <t>DG</t>
        </is>
      </c>
      <c r="I11" s="1" t="inlineStr">
        <is>
          <t>Pts</t>
        </is>
      </c>
      <c r="J11" s="1" t="inlineStr">
        <is>
          <t>Pos</t>
        </is>
      </c>
      <c r="K11" s="1" t="inlineStr">
        <is>
          <t>Score</t>
        </is>
      </c>
    </row>
    <row r="12" ht="15" customHeight="1">
      <c r="A12" s="7" t="inlineStr">
        <is>
          <t>Canadá</t>
        </is>
      </c>
      <c r="B12" s="16">
        <f>SUMPRODUCT((Modelo!$C$3:$C$106="Grupos")*((Modelo!$D$3:$D$106=$A12)+(Modelo!$E$3:$E$106=$A12))*Modelo!$H$3:$H$106)</f>
        <v/>
      </c>
      <c r="C12" s="16">
        <f>SUMPRODUCT((Modelo!$C$3:$C$106="Grupos")*(Modelo!$D$3:$D$106=$A12)*Modelo!$H$3:$H$106*(Modelo!$I$3:$I$106&gt;Modelo!$J$3:$J$106))+SUMPRODUCT((Modelo!$C$3:$C$106="Grupos")*(Modelo!$E$3:$E$106=$A12)*Modelo!$H$3:$H$106*(Modelo!$J$3:$J$106&gt;Modelo!$I$3:$I$106))</f>
        <v/>
      </c>
      <c r="D12" s="16">
        <f>SUMPRODUCT((Modelo!$C$3:$C$106="Grupos")*((Modelo!$D$3:$D$106=$A12)+(Modelo!$E$3:$E$106=$A12))*Modelo!$H$3:$H$106*(Modelo!$I$3:$I$106=Modelo!$J$3:$J$106))</f>
        <v/>
      </c>
      <c r="E12" s="16">
        <f>$B12-$C12-$D12</f>
        <v/>
      </c>
      <c r="F12" s="16">
        <f>SUMPRODUCT((Modelo!$C$3:$C$106="Grupos")*(Modelo!$D$3:$D$106=$A12)*Modelo!$H$3:$H$106*Modelo!$I$3:$I$106)+SUMPRODUCT((Modelo!$C$3:$C$106="Grupos")*(Modelo!$E$3:$E$106=$A12)*Modelo!$H$3:$H$106*Modelo!$J$3:$J$106)</f>
        <v/>
      </c>
      <c r="G12" s="16">
        <f>SUMPRODUCT((Modelo!$C$3:$C$106="Grupos")*(Modelo!$D$3:$D$106=$A12)*Modelo!$H$3:$H$106*Modelo!$J$3:$J$106)+SUMPRODUCT((Modelo!$C$3:$C$106="Grupos")*(Modelo!$E$3:$E$106=$A12)*Modelo!$H$3:$H$106*Modelo!$I$3:$I$106)</f>
        <v/>
      </c>
      <c r="H12" s="16">
        <f>$F12-$G12</f>
        <v/>
      </c>
      <c r="I12" s="16">
        <f>3*$C12+$D12</f>
        <v/>
      </c>
      <c r="J12" s="16">
        <f>1+SUMPRODUCT(($K$12:$K$15&gt;$K12)*1)</f>
        <v/>
      </c>
      <c r="K12" s="16">
        <f>$I12*1000000+($H12+200)*1000+$F12</f>
        <v/>
      </c>
    </row>
    <row r="13" ht="15" customHeight="1">
      <c r="A13" s="7" t="inlineStr">
        <is>
          <t>Bosnia y Herzegovina</t>
        </is>
      </c>
      <c r="B13" s="16">
        <f>SUMPRODUCT((Modelo!$C$3:$C$106="Grupos")*((Modelo!$D$3:$D$106=$A13)+(Modelo!$E$3:$E$106=$A13))*Modelo!$H$3:$H$106)</f>
        <v/>
      </c>
      <c r="C13" s="16">
        <f>SUMPRODUCT((Modelo!$C$3:$C$106="Grupos")*(Modelo!$D$3:$D$106=$A13)*Modelo!$H$3:$H$106*(Modelo!$I$3:$I$106&gt;Modelo!$J$3:$J$106))+SUMPRODUCT((Modelo!$C$3:$C$106="Grupos")*(Modelo!$E$3:$E$106=$A13)*Modelo!$H$3:$H$106*(Modelo!$J$3:$J$106&gt;Modelo!$I$3:$I$106))</f>
        <v/>
      </c>
      <c r="D13" s="16">
        <f>SUMPRODUCT((Modelo!$C$3:$C$106="Grupos")*((Modelo!$D$3:$D$106=$A13)+(Modelo!$E$3:$E$106=$A13))*Modelo!$H$3:$H$106*(Modelo!$I$3:$I$106=Modelo!$J$3:$J$106))</f>
        <v/>
      </c>
      <c r="E13" s="16">
        <f>$B13-$C13-$D13</f>
        <v/>
      </c>
      <c r="F13" s="16">
        <f>SUMPRODUCT((Modelo!$C$3:$C$106="Grupos")*(Modelo!$D$3:$D$106=$A13)*Modelo!$H$3:$H$106*Modelo!$I$3:$I$106)+SUMPRODUCT((Modelo!$C$3:$C$106="Grupos")*(Modelo!$E$3:$E$106=$A13)*Modelo!$H$3:$H$106*Modelo!$J$3:$J$106)</f>
        <v/>
      </c>
      <c r="G13" s="16">
        <f>SUMPRODUCT((Modelo!$C$3:$C$106="Grupos")*(Modelo!$D$3:$D$106=$A13)*Modelo!$H$3:$H$106*Modelo!$J$3:$J$106)+SUMPRODUCT((Modelo!$C$3:$C$106="Grupos")*(Modelo!$E$3:$E$106=$A13)*Modelo!$H$3:$H$106*Modelo!$I$3:$I$106)</f>
        <v/>
      </c>
      <c r="H13" s="16">
        <f>$F13-$G13</f>
        <v/>
      </c>
      <c r="I13" s="16">
        <f>3*$C13+$D13</f>
        <v/>
      </c>
      <c r="J13" s="16">
        <f>1+SUMPRODUCT(($K$12:$K$15&gt;$K13)*1)</f>
        <v/>
      </c>
      <c r="K13" s="16">
        <f>$I13*1000000+($H13+200)*1000+$F13</f>
        <v/>
      </c>
    </row>
    <row r="14" ht="15" customHeight="1">
      <c r="A14" s="7" t="inlineStr">
        <is>
          <t>Qatar</t>
        </is>
      </c>
      <c r="B14" s="16">
        <f>SUMPRODUCT((Modelo!$C$3:$C$106="Grupos")*((Modelo!$D$3:$D$106=$A14)+(Modelo!$E$3:$E$106=$A14))*Modelo!$H$3:$H$106)</f>
        <v/>
      </c>
      <c r="C14" s="16">
        <f>SUMPRODUCT((Modelo!$C$3:$C$106="Grupos")*(Modelo!$D$3:$D$106=$A14)*Modelo!$H$3:$H$106*(Modelo!$I$3:$I$106&gt;Modelo!$J$3:$J$106))+SUMPRODUCT((Modelo!$C$3:$C$106="Grupos")*(Modelo!$E$3:$E$106=$A14)*Modelo!$H$3:$H$106*(Modelo!$J$3:$J$106&gt;Modelo!$I$3:$I$106))</f>
        <v/>
      </c>
      <c r="D14" s="16">
        <f>SUMPRODUCT((Modelo!$C$3:$C$106="Grupos")*((Modelo!$D$3:$D$106=$A14)+(Modelo!$E$3:$E$106=$A14))*Modelo!$H$3:$H$106*(Modelo!$I$3:$I$106=Modelo!$J$3:$J$106))</f>
        <v/>
      </c>
      <c r="E14" s="16">
        <f>$B14-$C14-$D14</f>
        <v/>
      </c>
      <c r="F14" s="16">
        <f>SUMPRODUCT((Modelo!$C$3:$C$106="Grupos")*(Modelo!$D$3:$D$106=$A14)*Modelo!$H$3:$H$106*Modelo!$I$3:$I$106)+SUMPRODUCT((Modelo!$C$3:$C$106="Grupos")*(Modelo!$E$3:$E$106=$A14)*Modelo!$H$3:$H$106*Modelo!$J$3:$J$106)</f>
        <v/>
      </c>
      <c r="G14" s="16">
        <f>SUMPRODUCT((Modelo!$C$3:$C$106="Grupos")*(Modelo!$D$3:$D$106=$A14)*Modelo!$H$3:$H$106*Modelo!$J$3:$J$106)+SUMPRODUCT((Modelo!$C$3:$C$106="Grupos")*(Modelo!$E$3:$E$106=$A14)*Modelo!$H$3:$H$106*Modelo!$I$3:$I$106)</f>
        <v/>
      </c>
      <c r="H14" s="16">
        <f>$F14-$G14</f>
        <v/>
      </c>
      <c r="I14" s="16">
        <f>3*$C14+$D14</f>
        <v/>
      </c>
      <c r="J14" s="16">
        <f>1+SUMPRODUCT(($K$12:$K$15&gt;$K14)*1)</f>
        <v/>
      </c>
      <c r="K14" s="16">
        <f>$I14*1000000+($H14+200)*1000+$F14</f>
        <v/>
      </c>
    </row>
    <row r="15" ht="15" customHeight="1">
      <c r="A15" s="7" t="inlineStr">
        <is>
          <t>Suiza</t>
        </is>
      </c>
      <c r="B15" s="16">
        <f>SUMPRODUCT((Modelo!$C$3:$C$106="Grupos")*((Modelo!$D$3:$D$106=$A15)+(Modelo!$E$3:$E$106=$A15))*Modelo!$H$3:$H$106)</f>
        <v/>
      </c>
      <c r="C15" s="16">
        <f>SUMPRODUCT((Modelo!$C$3:$C$106="Grupos")*(Modelo!$D$3:$D$106=$A15)*Modelo!$H$3:$H$106*(Modelo!$I$3:$I$106&gt;Modelo!$J$3:$J$106))+SUMPRODUCT((Modelo!$C$3:$C$106="Grupos")*(Modelo!$E$3:$E$106=$A15)*Modelo!$H$3:$H$106*(Modelo!$J$3:$J$106&gt;Modelo!$I$3:$I$106))</f>
        <v/>
      </c>
      <c r="D15" s="16">
        <f>SUMPRODUCT((Modelo!$C$3:$C$106="Grupos")*((Modelo!$D$3:$D$106=$A15)+(Modelo!$E$3:$E$106=$A15))*Modelo!$H$3:$H$106*(Modelo!$I$3:$I$106=Modelo!$J$3:$J$106))</f>
        <v/>
      </c>
      <c r="E15" s="16">
        <f>$B15-$C15-$D15</f>
        <v/>
      </c>
      <c r="F15" s="16">
        <f>SUMPRODUCT((Modelo!$C$3:$C$106="Grupos")*(Modelo!$D$3:$D$106=$A15)*Modelo!$H$3:$H$106*Modelo!$I$3:$I$106)+SUMPRODUCT((Modelo!$C$3:$C$106="Grupos")*(Modelo!$E$3:$E$106=$A15)*Modelo!$H$3:$H$106*Modelo!$J$3:$J$106)</f>
        <v/>
      </c>
      <c r="G15" s="16">
        <f>SUMPRODUCT((Modelo!$C$3:$C$106="Grupos")*(Modelo!$D$3:$D$106=$A15)*Modelo!$H$3:$H$106*Modelo!$J$3:$J$106)+SUMPRODUCT((Modelo!$C$3:$C$106="Grupos")*(Modelo!$E$3:$E$106=$A15)*Modelo!$H$3:$H$106*Modelo!$I$3:$I$106)</f>
        <v/>
      </c>
      <c r="H15" s="16">
        <f>$F15-$G15</f>
        <v/>
      </c>
      <c r="I15" s="16">
        <f>3*$C15+$D15</f>
        <v/>
      </c>
      <c r="J15" s="16">
        <f>1+SUMPRODUCT(($K$12:$K$15&gt;$K15)*1)</f>
        <v/>
      </c>
      <c r="K15" s="16">
        <f>$I15*1000000+($H15+200)*1000+$F15</f>
        <v/>
      </c>
    </row>
    <row r="17" ht="15" customHeight="1">
      <c r="A17" s="5" t="inlineStr">
        <is>
          <t>GRUPO C</t>
        </is>
      </c>
    </row>
    <row r="18" ht="15" customHeight="1">
      <c r="A18" s="1" t="inlineStr">
        <is>
          <t>Equipo</t>
        </is>
      </c>
      <c r="B18" s="1" t="inlineStr">
        <is>
          <t>PJ</t>
        </is>
      </c>
      <c r="C18" s="1" t="inlineStr">
        <is>
          <t>PG</t>
        </is>
      </c>
      <c r="D18" s="1" t="inlineStr">
        <is>
          <t>PE</t>
        </is>
      </c>
      <c r="E18" s="1" t="inlineStr">
        <is>
          <t>PP</t>
        </is>
      </c>
      <c r="F18" s="1" t="inlineStr">
        <is>
          <t>GF</t>
        </is>
      </c>
      <c r="G18" s="1" t="inlineStr">
        <is>
          <t>GC</t>
        </is>
      </c>
      <c r="H18" s="1" t="inlineStr">
        <is>
          <t>DG</t>
        </is>
      </c>
      <c r="I18" s="1" t="inlineStr">
        <is>
          <t>Pts</t>
        </is>
      </c>
      <c r="J18" s="1" t="inlineStr">
        <is>
          <t>Pos</t>
        </is>
      </c>
      <c r="K18" s="1" t="inlineStr">
        <is>
          <t>Score</t>
        </is>
      </c>
    </row>
    <row r="19" ht="15" customHeight="1">
      <c r="A19" s="7" t="inlineStr">
        <is>
          <t>Brasil</t>
        </is>
      </c>
      <c r="B19" s="16">
        <f>SUMPRODUCT((Modelo!$C$3:$C$106="Grupos")*((Modelo!$D$3:$D$106=$A19)+(Modelo!$E$3:$E$106=$A19))*Modelo!$H$3:$H$106)</f>
        <v/>
      </c>
      <c r="C19" s="16">
        <f>SUMPRODUCT((Modelo!$C$3:$C$106="Grupos")*(Modelo!$D$3:$D$106=$A19)*Modelo!$H$3:$H$106*(Modelo!$I$3:$I$106&gt;Modelo!$J$3:$J$106))+SUMPRODUCT((Modelo!$C$3:$C$106="Grupos")*(Modelo!$E$3:$E$106=$A19)*Modelo!$H$3:$H$106*(Modelo!$J$3:$J$106&gt;Modelo!$I$3:$I$106))</f>
        <v/>
      </c>
      <c r="D19" s="16">
        <f>SUMPRODUCT((Modelo!$C$3:$C$106="Grupos")*((Modelo!$D$3:$D$106=$A19)+(Modelo!$E$3:$E$106=$A19))*Modelo!$H$3:$H$106*(Modelo!$I$3:$I$106=Modelo!$J$3:$J$106))</f>
        <v/>
      </c>
      <c r="E19" s="16">
        <f>$B19-$C19-$D19</f>
        <v/>
      </c>
      <c r="F19" s="16">
        <f>SUMPRODUCT((Modelo!$C$3:$C$106="Grupos")*(Modelo!$D$3:$D$106=$A19)*Modelo!$H$3:$H$106*Modelo!$I$3:$I$106)+SUMPRODUCT((Modelo!$C$3:$C$106="Grupos")*(Modelo!$E$3:$E$106=$A19)*Modelo!$H$3:$H$106*Modelo!$J$3:$J$106)</f>
        <v/>
      </c>
      <c r="G19" s="16">
        <f>SUMPRODUCT((Modelo!$C$3:$C$106="Grupos")*(Modelo!$D$3:$D$106=$A19)*Modelo!$H$3:$H$106*Modelo!$J$3:$J$106)+SUMPRODUCT((Modelo!$C$3:$C$106="Grupos")*(Modelo!$E$3:$E$106=$A19)*Modelo!$H$3:$H$106*Modelo!$I$3:$I$106)</f>
        <v/>
      </c>
      <c r="H19" s="16">
        <f>$F19-$G19</f>
        <v/>
      </c>
      <c r="I19" s="16">
        <f>3*$C19+$D19</f>
        <v/>
      </c>
      <c r="J19" s="16">
        <f>1+SUMPRODUCT(($K$19:$K$22&gt;$K19)*1)</f>
        <v/>
      </c>
      <c r="K19" s="16">
        <f>$I19*1000000+($H19+200)*1000+$F19</f>
        <v/>
      </c>
    </row>
    <row r="20" ht="15" customHeight="1">
      <c r="A20" s="7" t="inlineStr">
        <is>
          <t>Marruecos</t>
        </is>
      </c>
      <c r="B20" s="16">
        <f>SUMPRODUCT((Modelo!$C$3:$C$106="Grupos")*((Modelo!$D$3:$D$106=$A20)+(Modelo!$E$3:$E$106=$A20))*Modelo!$H$3:$H$106)</f>
        <v/>
      </c>
      <c r="C20" s="16">
        <f>SUMPRODUCT((Modelo!$C$3:$C$106="Grupos")*(Modelo!$D$3:$D$106=$A20)*Modelo!$H$3:$H$106*(Modelo!$I$3:$I$106&gt;Modelo!$J$3:$J$106))+SUMPRODUCT((Modelo!$C$3:$C$106="Grupos")*(Modelo!$E$3:$E$106=$A20)*Modelo!$H$3:$H$106*(Modelo!$J$3:$J$106&gt;Modelo!$I$3:$I$106))</f>
        <v/>
      </c>
      <c r="D20" s="16">
        <f>SUMPRODUCT((Modelo!$C$3:$C$106="Grupos")*((Modelo!$D$3:$D$106=$A20)+(Modelo!$E$3:$E$106=$A20))*Modelo!$H$3:$H$106*(Modelo!$I$3:$I$106=Modelo!$J$3:$J$106))</f>
        <v/>
      </c>
      <c r="E20" s="16">
        <f>$B20-$C20-$D20</f>
        <v/>
      </c>
      <c r="F20" s="16">
        <f>SUMPRODUCT((Modelo!$C$3:$C$106="Grupos")*(Modelo!$D$3:$D$106=$A20)*Modelo!$H$3:$H$106*Modelo!$I$3:$I$106)+SUMPRODUCT((Modelo!$C$3:$C$106="Grupos")*(Modelo!$E$3:$E$106=$A20)*Modelo!$H$3:$H$106*Modelo!$J$3:$J$106)</f>
        <v/>
      </c>
      <c r="G20" s="16">
        <f>SUMPRODUCT((Modelo!$C$3:$C$106="Grupos")*(Modelo!$D$3:$D$106=$A20)*Modelo!$H$3:$H$106*Modelo!$J$3:$J$106)+SUMPRODUCT((Modelo!$C$3:$C$106="Grupos")*(Modelo!$E$3:$E$106=$A20)*Modelo!$H$3:$H$106*Modelo!$I$3:$I$106)</f>
        <v/>
      </c>
      <c r="H20" s="16">
        <f>$F20-$G20</f>
        <v/>
      </c>
      <c r="I20" s="16">
        <f>3*$C20+$D20</f>
        <v/>
      </c>
      <c r="J20" s="16">
        <f>1+SUMPRODUCT(($K$19:$K$22&gt;$K20)*1)</f>
        <v/>
      </c>
      <c r="K20" s="16">
        <f>$I20*1000000+($H20+200)*1000+$F20</f>
        <v/>
      </c>
    </row>
    <row r="21" ht="15" customHeight="1">
      <c r="A21" s="7" t="inlineStr">
        <is>
          <t>Haití</t>
        </is>
      </c>
      <c r="B21" s="16">
        <f>SUMPRODUCT((Modelo!$C$3:$C$106="Grupos")*((Modelo!$D$3:$D$106=$A21)+(Modelo!$E$3:$E$106=$A21))*Modelo!$H$3:$H$106)</f>
        <v/>
      </c>
      <c r="C21" s="16">
        <f>SUMPRODUCT((Modelo!$C$3:$C$106="Grupos")*(Modelo!$D$3:$D$106=$A21)*Modelo!$H$3:$H$106*(Modelo!$I$3:$I$106&gt;Modelo!$J$3:$J$106))+SUMPRODUCT((Modelo!$C$3:$C$106="Grupos")*(Modelo!$E$3:$E$106=$A21)*Modelo!$H$3:$H$106*(Modelo!$J$3:$J$106&gt;Modelo!$I$3:$I$106))</f>
        <v/>
      </c>
      <c r="D21" s="16">
        <f>SUMPRODUCT((Modelo!$C$3:$C$106="Grupos")*((Modelo!$D$3:$D$106=$A21)+(Modelo!$E$3:$E$106=$A21))*Modelo!$H$3:$H$106*(Modelo!$I$3:$I$106=Modelo!$J$3:$J$106))</f>
        <v/>
      </c>
      <c r="E21" s="16">
        <f>$B21-$C21-$D21</f>
        <v/>
      </c>
      <c r="F21" s="16">
        <f>SUMPRODUCT((Modelo!$C$3:$C$106="Grupos")*(Modelo!$D$3:$D$106=$A21)*Modelo!$H$3:$H$106*Modelo!$I$3:$I$106)+SUMPRODUCT((Modelo!$C$3:$C$106="Grupos")*(Modelo!$E$3:$E$106=$A21)*Modelo!$H$3:$H$106*Modelo!$J$3:$J$106)</f>
        <v/>
      </c>
      <c r="G21" s="16">
        <f>SUMPRODUCT((Modelo!$C$3:$C$106="Grupos")*(Modelo!$D$3:$D$106=$A21)*Modelo!$H$3:$H$106*Modelo!$J$3:$J$106)+SUMPRODUCT((Modelo!$C$3:$C$106="Grupos")*(Modelo!$E$3:$E$106=$A21)*Modelo!$H$3:$H$106*Modelo!$I$3:$I$106)</f>
        <v/>
      </c>
      <c r="H21" s="16">
        <f>$F21-$G21</f>
        <v/>
      </c>
      <c r="I21" s="16">
        <f>3*$C21+$D21</f>
        <v/>
      </c>
      <c r="J21" s="16">
        <f>1+SUMPRODUCT(($K$19:$K$22&gt;$K21)*1)</f>
        <v/>
      </c>
      <c r="K21" s="16">
        <f>$I21*1000000+($H21+200)*1000+$F21</f>
        <v/>
      </c>
    </row>
    <row r="22" ht="15" customHeight="1">
      <c r="A22" s="7" t="inlineStr">
        <is>
          <t>Escocia</t>
        </is>
      </c>
      <c r="B22" s="16">
        <f>SUMPRODUCT((Modelo!$C$3:$C$106="Grupos")*((Modelo!$D$3:$D$106=$A22)+(Modelo!$E$3:$E$106=$A22))*Modelo!$H$3:$H$106)</f>
        <v/>
      </c>
      <c r="C22" s="16">
        <f>SUMPRODUCT((Modelo!$C$3:$C$106="Grupos")*(Modelo!$D$3:$D$106=$A22)*Modelo!$H$3:$H$106*(Modelo!$I$3:$I$106&gt;Modelo!$J$3:$J$106))+SUMPRODUCT((Modelo!$C$3:$C$106="Grupos")*(Modelo!$E$3:$E$106=$A22)*Modelo!$H$3:$H$106*(Modelo!$J$3:$J$106&gt;Modelo!$I$3:$I$106))</f>
        <v/>
      </c>
      <c r="D22" s="16">
        <f>SUMPRODUCT((Modelo!$C$3:$C$106="Grupos")*((Modelo!$D$3:$D$106=$A22)+(Modelo!$E$3:$E$106=$A22))*Modelo!$H$3:$H$106*(Modelo!$I$3:$I$106=Modelo!$J$3:$J$106))</f>
        <v/>
      </c>
      <c r="E22" s="16">
        <f>$B22-$C22-$D22</f>
        <v/>
      </c>
      <c r="F22" s="16">
        <f>SUMPRODUCT((Modelo!$C$3:$C$106="Grupos")*(Modelo!$D$3:$D$106=$A22)*Modelo!$H$3:$H$106*Modelo!$I$3:$I$106)+SUMPRODUCT((Modelo!$C$3:$C$106="Grupos")*(Modelo!$E$3:$E$106=$A22)*Modelo!$H$3:$H$106*Modelo!$J$3:$J$106)</f>
        <v/>
      </c>
      <c r="G22" s="16">
        <f>SUMPRODUCT((Modelo!$C$3:$C$106="Grupos")*(Modelo!$D$3:$D$106=$A22)*Modelo!$H$3:$H$106*Modelo!$J$3:$J$106)+SUMPRODUCT((Modelo!$C$3:$C$106="Grupos")*(Modelo!$E$3:$E$106=$A22)*Modelo!$H$3:$H$106*Modelo!$I$3:$I$106)</f>
        <v/>
      </c>
      <c r="H22" s="16">
        <f>$F22-$G22</f>
        <v/>
      </c>
      <c r="I22" s="16">
        <f>3*$C22+$D22</f>
        <v/>
      </c>
      <c r="J22" s="16">
        <f>1+SUMPRODUCT(($K$19:$K$22&gt;$K22)*1)</f>
        <v/>
      </c>
      <c r="K22" s="16">
        <f>$I22*1000000+($H22+200)*1000+$F22</f>
        <v/>
      </c>
    </row>
    <row r="24" ht="15" customHeight="1">
      <c r="A24" s="5" t="inlineStr">
        <is>
          <t>GRUPO D</t>
        </is>
      </c>
    </row>
    <row r="25" ht="15" customHeight="1">
      <c r="A25" s="1" t="inlineStr">
        <is>
          <t>Equipo</t>
        </is>
      </c>
      <c r="B25" s="1" t="inlineStr">
        <is>
          <t>PJ</t>
        </is>
      </c>
      <c r="C25" s="1" t="inlineStr">
        <is>
          <t>PG</t>
        </is>
      </c>
      <c r="D25" s="1" t="inlineStr">
        <is>
          <t>PE</t>
        </is>
      </c>
      <c r="E25" s="1" t="inlineStr">
        <is>
          <t>PP</t>
        </is>
      </c>
      <c r="F25" s="1" t="inlineStr">
        <is>
          <t>GF</t>
        </is>
      </c>
      <c r="G25" s="1" t="inlineStr">
        <is>
          <t>GC</t>
        </is>
      </c>
      <c r="H25" s="1" t="inlineStr">
        <is>
          <t>DG</t>
        </is>
      </c>
      <c r="I25" s="1" t="inlineStr">
        <is>
          <t>Pts</t>
        </is>
      </c>
      <c r="J25" s="1" t="inlineStr">
        <is>
          <t>Pos</t>
        </is>
      </c>
      <c r="K25" s="1" t="inlineStr">
        <is>
          <t>Score</t>
        </is>
      </c>
    </row>
    <row r="26" ht="15" customHeight="1">
      <c r="A26" s="7" t="inlineStr">
        <is>
          <t>Estados Unidos</t>
        </is>
      </c>
      <c r="B26" s="16">
        <f>SUMPRODUCT((Modelo!$C$3:$C$106="Grupos")*((Modelo!$D$3:$D$106=$A26)+(Modelo!$E$3:$E$106=$A26))*Modelo!$H$3:$H$106)</f>
        <v/>
      </c>
      <c r="C26" s="16">
        <f>SUMPRODUCT((Modelo!$C$3:$C$106="Grupos")*(Modelo!$D$3:$D$106=$A26)*Modelo!$H$3:$H$106*(Modelo!$I$3:$I$106&gt;Modelo!$J$3:$J$106))+SUMPRODUCT((Modelo!$C$3:$C$106="Grupos")*(Modelo!$E$3:$E$106=$A26)*Modelo!$H$3:$H$106*(Modelo!$J$3:$J$106&gt;Modelo!$I$3:$I$106))</f>
        <v/>
      </c>
      <c r="D26" s="16">
        <f>SUMPRODUCT((Modelo!$C$3:$C$106="Grupos")*((Modelo!$D$3:$D$106=$A26)+(Modelo!$E$3:$E$106=$A26))*Modelo!$H$3:$H$106*(Modelo!$I$3:$I$106=Modelo!$J$3:$J$106))</f>
        <v/>
      </c>
      <c r="E26" s="16">
        <f>$B26-$C26-$D26</f>
        <v/>
      </c>
      <c r="F26" s="16">
        <f>SUMPRODUCT((Modelo!$C$3:$C$106="Grupos")*(Modelo!$D$3:$D$106=$A26)*Modelo!$H$3:$H$106*Modelo!$I$3:$I$106)+SUMPRODUCT((Modelo!$C$3:$C$106="Grupos")*(Modelo!$E$3:$E$106=$A26)*Modelo!$H$3:$H$106*Modelo!$J$3:$J$106)</f>
        <v/>
      </c>
      <c r="G26" s="16">
        <f>SUMPRODUCT((Modelo!$C$3:$C$106="Grupos")*(Modelo!$D$3:$D$106=$A26)*Modelo!$H$3:$H$106*Modelo!$J$3:$J$106)+SUMPRODUCT((Modelo!$C$3:$C$106="Grupos")*(Modelo!$E$3:$E$106=$A26)*Modelo!$H$3:$H$106*Modelo!$I$3:$I$106)</f>
        <v/>
      </c>
      <c r="H26" s="16">
        <f>$F26-$G26</f>
        <v/>
      </c>
      <c r="I26" s="16">
        <f>3*$C26+$D26</f>
        <v/>
      </c>
      <c r="J26" s="16">
        <f>1+SUMPRODUCT(($K$26:$K$29&gt;$K26)*1)</f>
        <v/>
      </c>
      <c r="K26" s="16">
        <f>$I26*1000000+($H26+200)*1000+$F26</f>
        <v/>
      </c>
    </row>
    <row r="27" ht="15" customHeight="1">
      <c r="A27" s="7" t="inlineStr">
        <is>
          <t>Paraguay</t>
        </is>
      </c>
      <c r="B27" s="16">
        <f>SUMPRODUCT((Modelo!$C$3:$C$106="Grupos")*((Modelo!$D$3:$D$106=$A27)+(Modelo!$E$3:$E$106=$A27))*Modelo!$H$3:$H$106)</f>
        <v/>
      </c>
      <c r="C27" s="16">
        <f>SUMPRODUCT((Modelo!$C$3:$C$106="Grupos")*(Modelo!$D$3:$D$106=$A27)*Modelo!$H$3:$H$106*(Modelo!$I$3:$I$106&gt;Modelo!$J$3:$J$106))+SUMPRODUCT((Modelo!$C$3:$C$106="Grupos")*(Modelo!$E$3:$E$106=$A27)*Modelo!$H$3:$H$106*(Modelo!$J$3:$J$106&gt;Modelo!$I$3:$I$106))</f>
        <v/>
      </c>
      <c r="D27" s="16">
        <f>SUMPRODUCT((Modelo!$C$3:$C$106="Grupos")*((Modelo!$D$3:$D$106=$A27)+(Modelo!$E$3:$E$106=$A27))*Modelo!$H$3:$H$106*(Modelo!$I$3:$I$106=Modelo!$J$3:$J$106))</f>
        <v/>
      </c>
      <c r="E27" s="16">
        <f>$B27-$C27-$D27</f>
        <v/>
      </c>
      <c r="F27" s="16">
        <f>SUMPRODUCT((Modelo!$C$3:$C$106="Grupos")*(Modelo!$D$3:$D$106=$A27)*Modelo!$H$3:$H$106*Modelo!$I$3:$I$106)+SUMPRODUCT((Modelo!$C$3:$C$106="Grupos")*(Modelo!$E$3:$E$106=$A27)*Modelo!$H$3:$H$106*Modelo!$J$3:$J$106)</f>
        <v/>
      </c>
      <c r="G27" s="16">
        <f>SUMPRODUCT((Modelo!$C$3:$C$106="Grupos")*(Modelo!$D$3:$D$106=$A27)*Modelo!$H$3:$H$106*Modelo!$J$3:$J$106)+SUMPRODUCT((Modelo!$C$3:$C$106="Grupos")*(Modelo!$E$3:$E$106=$A27)*Modelo!$H$3:$H$106*Modelo!$I$3:$I$106)</f>
        <v/>
      </c>
      <c r="H27" s="16">
        <f>$F27-$G27</f>
        <v/>
      </c>
      <c r="I27" s="16">
        <f>3*$C27+$D27</f>
        <v/>
      </c>
      <c r="J27" s="16">
        <f>1+SUMPRODUCT(($K$26:$K$29&gt;$K27)*1)</f>
        <v/>
      </c>
      <c r="K27" s="16">
        <f>$I27*1000000+($H27+200)*1000+$F27</f>
        <v/>
      </c>
    </row>
    <row r="28" ht="15" customHeight="1">
      <c r="A28" s="7" t="inlineStr">
        <is>
          <t>Australia</t>
        </is>
      </c>
      <c r="B28" s="16">
        <f>SUMPRODUCT((Modelo!$C$3:$C$106="Grupos")*((Modelo!$D$3:$D$106=$A28)+(Modelo!$E$3:$E$106=$A28))*Modelo!$H$3:$H$106)</f>
        <v/>
      </c>
      <c r="C28" s="16">
        <f>SUMPRODUCT((Modelo!$C$3:$C$106="Grupos")*(Modelo!$D$3:$D$106=$A28)*Modelo!$H$3:$H$106*(Modelo!$I$3:$I$106&gt;Modelo!$J$3:$J$106))+SUMPRODUCT((Modelo!$C$3:$C$106="Grupos")*(Modelo!$E$3:$E$106=$A28)*Modelo!$H$3:$H$106*(Modelo!$J$3:$J$106&gt;Modelo!$I$3:$I$106))</f>
        <v/>
      </c>
      <c r="D28" s="16">
        <f>SUMPRODUCT((Modelo!$C$3:$C$106="Grupos")*((Modelo!$D$3:$D$106=$A28)+(Modelo!$E$3:$E$106=$A28))*Modelo!$H$3:$H$106*(Modelo!$I$3:$I$106=Modelo!$J$3:$J$106))</f>
        <v/>
      </c>
      <c r="E28" s="16">
        <f>$B28-$C28-$D28</f>
        <v/>
      </c>
      <c r="F28" s="16">
        <f>SUMPRODUCT((Modelo!$C$3:$C$106="Grupos")*(Modelo!$D$3:$D$106=$A28)*Modelo!$H$3:$H$106*Modelo!$I$3:$I$106)+SUMPRODUCT((Modelo!$C$3:$C$106="Grupos")*(Modelo!$E$3:$E$106=$A28)*Modelo!$H$3:$H$106*Modelo!$J$3:$J$106)</f>
        <v/>
      </c>
      <c r="G28" s="16">
        <f>SUMPRODUCT((Modelo!$C$3:$C$106="Grupos")*(Modelo!$D$3:$D$106=$A28)*Modelo!$H$3:$H$106*Modelo!$J$3:$J$106)+SUMPRODUCT((Modelo!$C$3:$C$106="Grupos")*(Modelo!$E$3:$E$106=$A28)*Modelo!$H$3:$H$106*Modelo!$I$3:$I$106)</f>
        <v/>
      </c>
      <c r="H28" s="16">
        <f>$F28-$G28</f>
        <v/>
      </c>
      <c r="I28" s="16">
        <f>3*$C28+$D28</f>
        <v/>
      </c>
      <c r="J28" s="16">
        <f>1+SUMPRODUCT(($K$26:$K$29&gt;$K28)*1)</f>
        <v/>
      </c>
      <c r="K28" s="16">
        <f>$I28*1000000+($H28+200)*1000+$F28</f>
        <v/>
      </c>
    </row>
    <row r="29" ht="15" customHeight="1">
      <c r="A29" s="7" t="inlineStr">
        <is>
          <t>Turquía</t>
        </is>
      </c>
      <c r="B29" s="16">
        <f>SUMPRODUCT((Modelo!$C$3:$C$106="Grupos")*((Modelo!$D$3:$D$106=$A29)+(Modelo!$E$3:$E$106=$A29))*Modelo!$H$3:$H$106)</f>
        <v/>
      </c>
      <c r="C29" s="16">
        <f>SUMPRODUCT((Modelo!$C$3:$C$106="Grupos")*(Modelo!$D$3:$D$106=$A29)*Modelo!$H$3:$H$106*(Modelo!$I$3:$I$106&gt;Modelo!$J$3:$J$106))+SUMPRODUCT((Modelo!$C$3:$C$106="Grupos")*(Modelo!$E$3:$E$106=$A29)*Modelo!$H$3:$H$106*(Modelo!$J$3:$J$106&gt;Modelo!$I$3:$I$106))</f>
        <v/>
      </c>
      <c r="D29" s="16">
        <f>SUMPRODUCT((Modelo!$C$3:$C$106="Grupos")*((Modelo!$D$3:$D$106=$A29)+(Modelo!$E$3:$E$106=$A29))*Modelo!$H$3:$H$106*(Modelo!$I$3:$I$106=Modelo!$J$3:$J$106))</f>
        <v/>
      </c>
      <c r="E29" s="16">
        <f>$B29-$C29-$D29</f>
        <v/>
      </c>
      <c r="F29" s="16">
        <f>SUMPRODUCT((Modelo!$C$3:$C$106="Grupos")*(Modelo!$D$3:$D$106=$A29)*Modelo!$H$3:$H$106*Modelo!$I$3:$I$106)+SUMPRODUCT((Modelo!$C$3:$C$106="Grupos")*(Modelo!$E$3:$E$106=$A29)*Modelo!$H$3:$H$106*Modelo!$J$3:$J$106)</f>
        <v/>
      </c>
      <c r="G29" s="16">
        <f>SUMPRODUCT((Modelo!$C$3:$C$106="Grupos")*(Modelo!$D$3:$D$106=$A29)*Modelo!$H$3:$H$106*Modelo!$J$3:$J$106)+SUMPRODUCT((Modelo!$C$3:$C$106="Grupos")*(Modelo!$E$3:$E$106=$A29)*Modelo!$H$3:$H$106*Modelo!$I$3:$I$106)</f>
        <v/>
      </c>
      <c r="H29" s="16">
        <f>$F29-$G29</f>
        <v/>
      </c>
      <c r="I29" s="16">
        <f>3*$C29+$D29</f>
        <v/>
      </c>
      <c r="J29" s="16">
        <f>1+SUMPRODUCT(($K$26:$K$29&gt;$K29)*1)</f>
        <v/>
      </c>
      <c r="K29" s="16">
        <f>$I29*1000000+($H29+200)*1000+$F29</f>
        <v/>
      </c>
    </row>
    <row r="31" ht="15" customHeight="1">
      <c r="A31" s="5" t="inlineStr">
        <is>
          <t>GRUPO E</t>
        </is>
      </c>
    </row>
    <row r="32" ht="15" customHeight="1">
      <c r="A32" s="1" t="inlineStr">
        <is>
          <t>Equipo</t>
        </is>
      </c>
      <c r="B32" s="1" t="inlineStr">
        <is>
          <t>PJ</t>
        </is>
      </c>
      <c r="C32" s="1" t="inlineStr">
        <is>
          <t>PG</t>
        </is>
      </c>
      <c r="D32" s="1" t="inlineStr">
        <is>
          <t>PE</t>
        </is>
      </c>
      <c r="E32" s="1" t="inlineStr">
        <is>
          <t>PP</t>
        </is>
      </c>
      <c r="F32" s="1" t="inlineStr">
        <is>
          <t>GF</t>
        </is>
      </c>
      <c r="G32" s="1" t="inlineStr">
        <is>
          <t>GC</t>
        </is>
      </c>
      <c r="H32" s="1" t="inlineStr">
        <is>
          <t>DG</t>
        </is>
      </c>
      <c r="I32" s="1" t="inlineStr">
        <is>
          <t>Pts</t>
        </is>
      </c>
      <c r="J32" s="1" t="inlineStr">
        <is>
          <t>Pos</t>
        </is>
      </c>
      <c r="K32" s="1" t="inlineStr">
        <is>
          <t>Score</t>
        </is>
      </c>
    </row>
    <row r="33" ht="15" customHeight="1">
      <c r="A33" s="7" t="inlineStr">
        <is>
          <t>Alemania</t>
        </is>
      </c>
      <c r="B33" s="16">
        <f>SUMPRODUCT((Modelo!$C$3:$C$106="Grupos")*((Modelo!$D$3:$D$106=$A33)+(Modelo!$E$3:$E$106=$A33))*Modelo!$H$3:$H$106)</f>
        <v/>
      </c>
      <c r="C33" s="16">
        <f>SUMPRODUCT((Modelo!$C$3:$C$106="Grupos")*(Modelo!$D$3:$D$106=$A33)*Modelo!$H$3:$H$106*(Modelo!$I$3:$I$106&gt;Modelo!$J$3:$J$106))+SUMPRODUCT((Modelo!$C$3:$C$106="Grupos")*(Modelo!$E$3:$E$106=$A33)*Modelo!$H$3:$H$106*(Modelo!$J$3:$J$106&gt;Modelo!$I$3:$I$106))</f>
        <v/>
      </c>
      <c r="D33" s="16">
        <f>SUMPRODUCT((Modelo!$C$3:$C$106="Grupos")*((Modelo!$D$3:$D$106=$A33)+(Modelo!$E$3:$E$106=$A33))*Modelo!$H$3:$H$106*(Modelo!$I$3:$I$106=Modelo!$J$3:$J$106))</f>
        <v/>
      </c>
      <c r="E33" s="16">
        <f>$B33-$C33-$D33</f>
        <v/>
      </c>
      <c r="F33" s="16">
        <f>SUMPRODUCT((Modelo!$C$3:$C$106="Grupos")*(Modelo!$D$3:$D$106=$A33)*Modelo!$H$3:$H$106*Modelo!$I$3:$I$106)+SUMPRODUCT((Modelo!$C$3:$C$106="Grupos")*(Modelo!$E$3:$E$106=$A33)*Modelo!$H$3:$H$106*Modelo!$J$3:$J$106)</f>
        <v/>
      </c>
      <c r="G33" s="16">
        <f>SUMPRODUCT((Modelo!$C$3:$C$106="Grupos")*(Modelo!$D$3:$D$106=$A33)*Modelo!$H$3:$H$106*Modelo!$J$3:$J$106)+SUMPRODUCT((Modelo!$C$3:$C$106="Grupos")*(Modelo!$E$3:$E$106=$A33)*Modelo!$H$3:$H$106*Modelo!$I$3:$I$106)</f>
        <v/>
      </c>
      <c r="H33" s="16">
        <f>$F33-$G33</f>
        <v/>
      </c>
      <c r="I33" s="16">
        <f>3*$C33+$D33</f>
        <v/>
      </c>
      <c r="J33" s="16">
        <f>1+SUMPRODUCT(($K$33:$K$36&gt;$K33)*1)</f>
        <v/>
      </c>
      <c r="K33" s="16">
        <f>$I33*1000000+($H33+200)*1000+$F33</f>
        <v/>
      </c>
    </row>
    <row r="34" ht="15" customHeight="1">
      <c r="A34" s="7" t="inlineStr">
        <is>
          <t>Curaçao</t>
        </is>
      </c>
      <c r="B34" s="16">
        <f>SUMPRODUCT((Modelo!$C$3:$C$106="Grupos")*((Modelo!$D$3:$D$106=$A34)+(Modelo!$E$3:$E$106=$A34))*Modelo!$H$3:$H$106)</f>
        <v/>
      </c>
      <c r="C34" s="16">
        <f>SUMPRODUCT((Modelo!$C$3:$C$106="Grupos")*(Modelo!$D$3:$D$106=$A34)*Modelo!$H$3:$H$106*(Modelo!$I$3:$I$106&gt;Modelo!$J$3:$J$106))+SUMPRODUCT((Modelo!$C$3:$C$106="Grupos")*(Modelo!$E$3:$E$106=$A34)*Modelo!$H$3:$H$106*(Modelo!$J$3:$J$106&gt;Modelo!$I$3:$I$106))</f>
        <v/>
      </c>
      <c r="D34" s="16">
        <f>SUMPRODUCT((Modelo!$C$3:$C$106="Grupos")*((Modelo!$D$3:$D$106=$A34)+(Modelo!$E$3:$E$106=$A34))*Modelo!$H$3:$H$106*(Modelo!$I$3:$I$106=Modelo!$J$3:$J$106))</f>
        <v/>
      </c>
      <c r="E34" s="16">
        <f>$B34-$C34-$D34</f>
        <v/>
      </c>
      <c r="F34" s="16">
        <f>SUMPRODUCT((Modelo!$C$3:$C$106="Grupos")*(Modelo!$D$3:$D$106=$A34)*Modelo!$H$3:$H$106*Modelo!$I$3:$I$106)+SUMPRODUCT((Modelo!$C$3:$C$106="Grupos")*(Modelo!$E$3:$E$106=$A34)*Modelo!$H$3:$H$106*Modelo!$J$3:$J$106)</f>
        <v/>
      </c>
      <c r="G34" s="16">
        <f>SUMPRODUCT((Modelo!$C$3:$C$106="Grupos")*(Modelo!$D$3:$D$106=$A34)*Modelo!$H$3:$H$106*Modelo!$J$3:$J$106)+SUMPRODUCT((Modelo!$C$3:$C$106="Grupos")*(Modelo!$E$3:$E$106=$A34)*Modelo!$H$3:$H$106*Modelo!$I$3:$I$106)</f>
        <v/>
      </c>
      <c r="H34" s="16">
        <f>$F34-$G34</f>
        <v/>
      </c>
      <c r="I34" s="16">
        <f>3*$C34+$D34</f>
        <v/>
      </c>
      <c r="J34" s="16">
        <f>1+SUMPRODUCT(($K$33:$K$36&gt;$K34)*1)</f>
        <v/>
      </c>
      <c r="K34" s="16">
        <f>$I34*1000000+($H34+200)*1000+$F34</f>
        <v/>
      </c>
    </row>
    <row r="35" ht="15" customHeight="1">
      <c r="A35" s="7" t="inlineStr">
        <is>
          <t>Costa de Marfil</t>
        </is>
      </c>
      <c r="B35" s="16">
        <f>SUMPRODUCT((Modelo!$C$3:$C$106="Grupos")*((Modelo!$D$3:$D$106=$A35)+(Modelo!$E$3:$E$106=$A35))*Modelo!$H$3:$H$106)</f>
        <v/>
      </c>
      <c r="C35" s="16">
        <f>SUMPRODUCT((Modelo!$C$3:$C$106="Grupos")*(Modelo!$D$3:$D$106=$A35)*Modelo!$H$3:$H$106*(Modelo!$I$3:$I$106&gt;Modelo!$J$3:$J$106))+SUMPRODUCT((Modelo!$C$3:$C$106="Grupos")*(Modelo!$E$3:$E$106=$A35)*Modelo!$H$3:$H$106*(Modelo!$J$3:$J$106&gt;Modelo!$I$3:$I$106))</f>
        <v/>
      </c>
      <c r="D35" s="16">
        <f>SUMPRODUCT((Modelo!$C$3:$C$106="Grupos")*((Modelo!$D$3:$D$106=$A35)+(Modelo!$E$3:$E$106=$A35))*Modelo!$H$3:$H$106*(Modelo!$I$3:$I$106=Modelo!$J$3:$J$106))</f>
        <v/>
      </c>
      <c r="E35" s="16">
        <f>$B35-$C35-$D35</f>
        <v/>
      </c>
      <c r="F35" s="16">
        <f>SUMPRODUCT((Modelo!$C$3:$C$106="Grupos")*(Modelo!$D$3:$D$106=$A35)*Modelo!$H$3:$H$106*Modelo!$I$3:$I$106)+SUMPRODUCT((Modelo!$C$3:$C$106="Grupos")*(Modelo!$E$3:$E$106=$A35)*Modelo!$H$3:$H$106*Modelo!$J$3:$J$106)</f>
        <v/>
      </c>
      <c r="G35" s="16">
        <f>SUMPRODUCT((Modelo!$C$3:$C$106="Grupos")*(Modelo!$D$3:$D$106=$A35)*Modelo!$H$3:$H$106*Modelo!$J$3:$J$106)+SUMPRODUCT((Modelo!$C$3:$C$106="Grupos")*(Modelo!$E$3:$E$106=$A35)*Modelo!$H$3:$H$106*Modelo!$I$3:$I$106)</f>
        <v/>
      </c>
      <c r="H35" s="16">
        <f>$F35-$G35</f>
        <v/>
      </c>
      <c r="I35" s="16">
        <f>3*$C35+$D35</f>
        <v/>
      </c>
      <c r="J35" s="16">
        <f>1+SUMPRODUCT(($K$33:$K$36&gt;$K35)*1)</f>
        <v/>
      </c>
      <c r="K35" s="16">
        <f>$I35*1000000+($H35+200)*1000+$F35</f>
        <v/>
      </c>
    </row>
    <row r="36" ht="15" customHeight="1">
      <c r="A36" s="7" t="inlineStr">
        <is>
          <t>Ecuador</t>
        </is>
      </c>
      <c r="B36" s="16">
        <f>SUMPRODUCT((Modelo!$C$3:$C$106="Grupos")*((Modelo!$D$3:$D$106=$A36)+(Modelo!$E$3:$E$106=$A36))*Modelo!$H$3:$H$106)</f>
        <v/>
      </c>
      <c r="C36" s="16">
        <f>SUMPRODUCT((Modelo!$C$3:$C$106="Grupos")*(Modelo!$D$3:$D$106=$A36)*Modelo!$H$3:$H$106*(Modelo!$I$3:$I$106&gt;Modelo!$J$3:$J$106))+SUMPRODUCT((Modelo!$C$3:$C$106="Grupos")*(Modelo!$E$3:$E$106=$A36)*Modelo!$H$3:$H$106*(Modelo!$J$3:$J$106&gt;Modelo!$I$3:$I$106))</f>
        <v/>
      </c>
      <c r="D36" s="16">
        <f>SUMPRODUCT((Modelo!$C$3:$C$106="Grupos")*((Modelo!$D$3:$D$106=$A36)+(Modelo!$E$3:$E$106=$A36))*Modelo!$H$3:$H$106*(Modelo!$I$3:$I$106=Modelo!$J$3:$J$106))</f>
        <v/>
      </c>
      <c r="E36" s="16">
        <f>$B36-$C36-$D36</f>
        <v/>
      </c>
      <c r="F36" s="16">
        <f>SUMPRODUCT((Modelo!$C$3:$C$106="Grupos")*(Modelo!$D$3:$D$106=$A36)*Modelo!$H$3:$H$106*Modelo!$I$3:$I$106)+SUMPRODUCT((Modelo!$C$3:$C$106="Grupos")*(Modelo!$E$3:$E$106=$A36)*Modelo!$H$3:$H$106*Modelo!$J$3:$J$106)</f>
        <v/>
      </c>
      <c r="G36" s="16">
        <f>SUMPRODUCT((Modelo!$C$3:$C$106="Grupos")*(Modelo!$D$3:$D$106=$A36)*Modelo!$H$3:$H$106*Modelo!$J$3:$J$106)+SUMPRODUCT((Modelo!$C$3:$C$106="Grupos")*(Modelo!$E$3:$E$106=$A36)*Modelo!$H$3:$H$106*Modelo!$I$3:$I$106)</f>
        <v/>
      </c>
      <c r="H36" s="16">
        <f>$F36-$G36</f>
        <v/>
      </c>
      <c r="I36" s="16">
        <f>3*$C36+$D36</f>
        <v/>
      </c>
      <c r="J36" s="16">
        <f>1+SUMPRODUCT(($K$33:$K$36&gt;$K36)*1)</f>
        <v/>
      </c>
      <c r="K36" s="16">
        <f>$I36*1000000+($H36+200)*1000+$F36</f>
        <v/>
      </c>
    </row>
    <row r="38" ht="15" customHeight="1">
      <c r="A38" s="5" t="inlineStr">
        <is>
          <t>GRUPO F</t>
        </is>
      </c>
    </row>
    <row r="39" ht="15" customHeight="1">
      <c r="A39" s="1" t="inlineStr">
        <is>
          <t>Equipo</t>
        </is>
      </c>
      <c r="B39" s="1" t="inlineStr">
        <is>
          <t>PJ</t>
        </is>
      </c>
      <c r="C39" s="1" t="inlineStr">
        <is>
          <t>PG</t>
        </is>
      </c>
      <c r="D39" s="1" t="inlineStr">
        <is>
          <t>PE</t>
        </is>
      </c>
      <c r="E39" s="1" t="inlineStr">
        <is>
          <t>PP</t>
        </is>
      </c>
      <c r="F39" s="1" t="inlineStr">
        <is>
          <t>GF</t>
        </is>
      </c>
      <c r="G39" s="1" t="inlineStr">
        <is>
          <t>GC</t>
        </is>
      </c>
      <c r="H39" s="1" t="inlineStr">
        <is>
          <t>DG</t>
        </is>
      </c>
      <c r="I39" s="1" t="inlineStr">
        <is>
          <t>Pts</t>
        </is>
      </c>
      <c r="J39" s="1" t="inlineStr">
        <is>
          <t>Pos</t>
        </is>
      </c>
      <c r="K39" s="1" t="inlineStr">
        <is>
          <t>Score</t>
        </is>
      </c>
    </row>
    <row r="40" ht="15" customHeight="1">
      <c r="A40" s="7" t="inlineStr">
        <is>
          <t>Países Bajos</t>
        </is>
      </c>
      <c r="B40" s="16">
        <f>SUMPRODUCT((Modelo!$C$3:$C$106="Grupos")*((Modelo!$D$3:$D$106=$A40)+(Modelo!$E$3:$E$106=$A40))*Modelo!$H$3:$H$106)</f>
        <v/>
      </c>
      <c r="C40" s="16">
        <f>SUMPRODUCT((Modelo!$C$3:$C$106="Grupos")*(Modelo!$D$3:$D$106=$A40)*Modelo!$H$3:$H$106*(Modelo!$I$3:$I$106&gt;Modelo!$J$3:$J$106))+SUMPRODUCT((Modelo!$C$3:$C$106="Grupos")*(Modelo!$E$3:$E$106=$A40)*Modelo!$H$3:$H$106*(Modelo!$J$3:$J$106&gt;Modelo!$I$3:$I$106))</f>
        <v/>
      </c>
      <c r="D40" s="16">
        <f>SUMPRODUCT((Modelo!$C$3:$C$106="Grupos")*((Modelo!$D$3:$D$106=$A40)+(Modelo!$E$3:$E$106=$A40))*Modelo!$H$3:$H$106*(Modelo!$I$3:$I$106=Modelo!$J$3:$J$106))</f>
        <v/>
      </c>
      <c r="E40" s="16">
        <f>$B40-$C40-$D40</f>
        <v/>
      </c>
      <c r="F40" s="16">
        <f>SUMPRODUCT((Modelo!$C$3:$C$106="Grupos")*(Modelo!$D$3:$D$106=$A40)*Modelo!$H$3:$H$106*Modelo!$I$3:$I$106)+SUMPRODUCT((Modelo!$C$3:$C$106="Grupos")*(Modelo!$E$3:$E$106=$A40)*Modelo!$H$3:$H$106*Modelo!$J$3:$J$106)</f>
        <v/>
      </c>
      <c r="G40" s="16">
        <f>SUMPRODUCT((Modelo!$C$3:$C$106="Grupos")*(Modelo!$D$3:$D$106=$A40)*Modelo!$H$3:$H$106*Modelo!$J$3:$J$106)+SUMPRODUCT((Modelo!$C$3:$C$106="Grupos")*(Modelo!$E$3:$E$106=$A40)*Modelo!$H$3:$H$106*Modelo!$I$3:$I$106)</f>
        <v/>
      </c>
      <c r="H40" s="16">
        <f>$F40-$G40</f>
        <v/>
      </c>
      <c r="I40" s="16">
        <f>3*$C40+$D40</f>
        <v/>
      </c>
      <c r="J40" s="16">
        <f>1+SUMPRODUCT(($K$40:$K$43&gt;$K40)*1)</f>
        <v/>
      </c>
      <c r="K40" s="16">
        <f>$I40*1000000+($H40+200)*1000+$F40</f>
        <v/>
      </c>
    </row>
    <row r="41" ht="15" customHeight="1">
      <c r="A41" s="7" t="inlineStr">
        <is>
          <t>Japón</t>
        </is>
      </c>
      <c r="B41" s="16">
        <f>SUMPRODUCT((Modelo!$C$3:$C$106="Grupos")*((Modelo!$D$3:$D$106=$A41)+(Modelo!$E$3:$E$106=$A41))*Modelo!$H$3:$H$106)</f>
        <v/>
      </c>
      <c r="C41" s="16">
        <f>SUMPRODUCT((Modelo!$C$3:$C$106="Grupos")*(Modelo!$D$3:$D$106=$A41)*Modelo!$H$3:$H$106*(Modelo!$I$3:$I$106&gt;Modelo!$J$3:$J$106))+SUMPRODUCT((Modelo!$C$3:$C$106="Grupos")*(Modelo!$E$3:$E$106=$A41)*Modelo!$H$3:$H$106*(Modelo!$J$3:$J$106&gt;Modelo!$I$3:$I$106))</f>
        <v/>
      </c>
      <c r="D41" s="16">
        <f>SUMPRODUCT((Modelo!$C$3:$C$106="Grupos")*((Modelo!$D$3:$D$106=$A41)+(Modelo!$E$3:$E$106=$A41))*Modelo!$H$3:$H$106*(Modelo!$I$3:$I$106=Modelo!$J$3:$J$106))</f>
        <v/>
      </c>
      <c r="E41" s="16">
        <f>$B41-$C41-$D41</f>
        <v/>
      </c>
      <c r="F41" s="16">
        <f>SUMPRODUCT((Modelo!$C$3:$C$106="Grupos")*(Modelo!$D$3:$D$106=$A41)*Modelo!$H$3:$H$106*Modelo!$I$3:$I$106)+SUMPRODUCT((Modelo!$C$3:$C$106="Grupos")*(Modelo!$E$3:$E$106=$A41)*Modelo!$H$3:$H$106*Modelo!$J$3:$J$106)</f>
        <v/>
      </c>
      <c r="G41" s="16">
        <f>SUMPRODUCT((Modelo!$C$3:$C$106="Grupos")*(Modelo!$D$3:$D$106=$A41)*Modelo!$H$3:$H$106*Modelo!$J$3:$J$106)+SUMPRODUCT((Modelo!$C$3:$C$106="Grupos")*(Modelo!$E$3:$E$106=$A41)*Modelo!$H$3:$H$106*Modelo!$I$3:$I$106)</f>
        <v/>
      </c>
      <c r="H41" s="16">
        <f>$F41-$G41</f>
        <v/>
      </c>
      <c r="I41" s="16">
        <f>3*$C41+$D41</f>
        <v/>
      </c>
      <c r="J41" s="16">
        <f>1+SUMPRODUCT(($K$40:$K$43&gt;$K41)*1)</f>
        <v/>
      </c>
      <c r="K41" s="16">
        <f>$I41*1000000+($H41+200)*1000+$F41</f>
        <v/>
      </c>
    </row>
    <row r="42" ht="15" customHeight="1">
      <c r="A42" s="7" t="inlineStr">
        <is>
          <t>Suecia</t>
        </is>
      </c>
      <c r="B42" s="16">
        <f>SUMPRODUCT((Modelo!$C$3:$C$106="Grupos")*((Modelo!$D$3:$D$106=$A42)+(Modelo!$E$3:$E$106=$A42))*Modelo!$H$3:$H$106)</f>
        <v/>
      </c>
      <c r="C42" s="16">
        <f>SUMPRODUCT((Modelo!$C$3:$C$106="Grupos")*(Modelo!$D$3:$D$106=$A42)*Modelo!$H$3:$H$106*(Modelo!$I$3:$I$106&gt;Modelo!$J$3:$J$106))+SUMPRODUCT((Modelo!$C$3:$C$106="Grupos")*(Modelo!$E$3:$E$106=$A42)*Modelo!$H$3:$H$106*(Modelo!$J$3:$J$106&gt;Modelo!$I$3:$I$106))</f>
        <v/>
      </c>
      <c r="D42" s="16">
        <f>SUMPRODUCT((Modelo!$C$3:$C$106="Grupos")*((Modelo!$D$3:$D$106=$A42)+(Modelo!$E$3:$E$106=$A42))*Modelo!$H$3:$H$106*(Modelo!$I$3:$I$106=Modelo!$J$3:$J$106))</f>
        <v/>
      </c>
      <c r="E42" s="16">
        <f>$B42-$C42-$D42</f>
        <v/>
      </c>
      <c r="F42" s="16">
        <f>SUMPRODUCT((Modelo!$C$3:$C$106="Grupos")*(Modelo!$D$3:$D$106=$A42)*Modelo!$H$3:$H$106*Modelo!$I$3:$I$106)+SUMPRODUCT((Modelo!$C$3:$C$106="Grupos")*(Modelo!$E$3:$E$106=$A42)*Modelo!$H$3:$H$106*Modelo!$J$3:$J$106)</f>
        <v/>
      </c>
      <c r="G42" s="16">
        <f>SUMPRODUCT((Modelo!$C$3:$C$106="Grupos")*(Modelo!$D$3:$D$106=$A42)*Modelo!$H$3:$H$106*Modelo!$J$3:$J$106)+SUMPRODUCT((Modelo!$C$3:$C$106="Grupos")*(Modelo!$E$3:$E$106=$A42)*Modelo!$H$3:$H$106*Modelo!$I$3:$I$106)</f>
        <v/>
      </c>
      <c r="H42" s="16">
        <f>$F42-$G42</f>
        <v/>
      </c>
      <c r="I42" s="16">
        <f>3*$C42+$D42</f>
        <v/>
      </c>
      <c r="J42" s="16">
        <f>1+SUMPRODUCT(($K$40:$K$43&gt;$K42)*1)</f>
        <v/>
      </c>
      <c r="K42" s="16">
        <f>$I42*1000000+($H42+200)*1000+$F42</f>
        <v/>
      </c>
    </row>
    <row r="43" ht="15" customHeight="1">
      <c r="A43" s="7" t="inlineStr">
        <is>
          <t>Túnez</t>
        </is>
      </c>
      <c r="B43" s="16">
        <f>SUMPRODUCT((Modelo!$C$3:$C$106="Grupos")*((Modelo!$D$3:$D$106=$A43)+(Modelo!$E$3:$E$106=$A43))*Modelo!$H$3:$H$106)</f>
        <v/>
      </c>
      <c r="C43" s="16">
        <f>SUMPRODUCT((Modelo!$C$3:$C$106="Grupos")*(Modelo!$D$3:$D$106=$A43)*Modelo!$H$3:$H$106*(Modelo!$I$3:$I$106&gt;Modelo!$J$3:$J$106))+SUMPRODUCT((Modelo!$C$3:$C$106="Grupos")*(Modelo!$E$3:$E$106=$A43)*Modelo!$H$3:$H$106*(Modelo!$J$3:$J$106&gt;Modelo!$I$3:$I$106))</f>
        <v/>
      </c>
      <c r="D43" s="16">
        <f>SUMPRODUCT((Modelo!$C$3:$C$106="Grupos")*((Modelo!$D$3:$D$106=$A43)+(Modelo!$E$3:$E$106=$A43))*Modelo!$H$3:$H$106*(Modelo!$I$3:$I$106=Modelo!$J$3:$J$106))</f>
        <v/>
      </c>
      <c r="E43" s="16">
        <f>$B43-$C43-$D43</f>
        <v/>
      </c>
      <c r="F43" s="16">
        <f>SUMPRODUCT((Modelo!$C$3:$C$106="Grupos")*(Modelo!$D$3:$D$106=$A43)*Modelo!$H$3:$H$106*Modelo!$I$3:$I$106)+SUMPRODUCT((Modelo!$C$3:$C$106="Grupos")*(Modelo!$E$3:$E$106=$A43)*Modelo!$H$3:$H$106*Modelo!$J$3:$J$106)</f>
        <v/>
      </c>
      <c r="G43" s="16">
        <f>SUMPRODUCT((Modelo!$C$3:$C$106="Grupos")*(Modelo!$D$3:$D$106=$A43)*Modelo!$H$3:$H$106*Modelo!$J$3:$J$106)+SUMPRODUCT((Modelo!$C$3:$C$106="Grupos")*(Modelo!$E$3:$E$106=$A43)*Modelo!$H$3:$H$106*Modelo!$I$3:$I$106)</f>
        <v/>
      </c>
      <c r="H43" s="16">
        <f>$F43-$G43</f>
        <v/>
      </c>
      <c r="I43" s="16">
        <f>3*$C43+$D43</f>
        <v/>
      </c>
      <c r="J43" s="16">
        <f>1+SUMPRODUCT(($K$40:$K$43&gt;$K43)*1)</f>
        <v/>
      </c>
      <c r="K43" s="16">
        <f>$I43*1000000+($H43+200)*1000+$F43</f>
        <v/>
      </c>
    </row>
    <row r="45" ht="15" customHeight="1">
      <c r="A45" s="5" t="inlineStr">
        <is>
          <t>GRUPO G</t>
        </is>
      </c>
    </row>
    <row r="46" ht="15" customHeight="1">
      <c r="A46" s="1" t="inlineStr">
        <is>
          <t>Equipo</t>
        </is>
      </c>
      <c r="B46" s="1" t="inlineStr">
        <is>
          <t>PJ</t>
        </is>
      </c>
      <c r="C46" s="1" t="inlineStr">
        <is>
          <t>PG</t>
        </is>
      </c>
      <c r="D46" s="1" t="inlineStr">
        <is>
          <t>PE</t>
        </is>
      </c>
      <c r="E46" s="1" t="inlineStr">
        <is>
          <t>PP</t>
        </is>
      </c>
      <c r="F46" s="1" t="inlineStr">
        <is>
          <t>GF</t>
        </is>
      </c>
      <c r="G46" s="1" t="inlineStr">
        <is>
          <t>GC</t>
        </is>
      </c>
      <c r="H46" s="1" t="inlineStr">
        <is>
          <t>DG</t>
        </is>
      </c>
      <c r="I46" s="1" t="inlineStr">
        <is>
          <t>Pts</t>
        </is>
      </c>
      <c r="J46" s="1" t="inlineStr">
        <is>
          <t>Pos</t>
        </is>
      </c>
      <c r="K46" s="1" t="inlineStr">
        <is>
          <t>Score</t>
        </is>
      </c>
    </row>
    <row r="47" ht="15" customHeight="1">
      <c r="A47" s="7" t="inlineStr">
        <is>
          <t>Bélgica</t>
        </is>
      </c>
      <c r="B47" s="16">
        <f>SUMPRODUCT((Modelo!$C$3:$C$106="Grupos")*((Modelo!$D$3:$D$106=$A47)+(Modelo!$E$3:$E$106=$A47))*Modelo!$H$3:$H$106)</f>
        <v/>
      </c>
      <c r="C47" s="16">
        <f>SUMPRODUCT((Modelo!$C$3:$C$106="Grupos")*(Modelo!$D$3:$D$106=$A47)*Modelo!$H$3:$H$106*(Modelo!$I$3:$I$106&gt;Modelo!$J$3:$J$106))+SUMPRODUCT((Modelo!$C$3:$C$106="Grupos")*(Modelo!$E$3:$E$106=$A47)*Modelo!$H$3:$H$106*(Modelo!$J$3:$J$106&gt;Modelo!$I$3:$I$106))</f>
        <v/>
      </c>
      <c r="D47" s="16">
        <f>SUMPRODUCT((Modelo!$C$3:$C$106="Grupos")*((Modelo!$D$3:$D$106=$A47)+(Modelo!$E$3:$E$106=$A47))*Modelo!$H$3:$H$106*(Modelo!$I$3:$I$106=Modelo!$J$3:$J$106))</f>
        <v/>
      </c>
      <c r="E47" s="16">
        <f>$B47-$C47-$D47</f>
        <v/>
      </c>
      <c r="F47" s="16">
        <f>SUMPRODUCT((Modelo!$C$3:$C$106="Grupos")*(Modelo!$D$3:$D$106=$A47)*Modelo!$H$3:$H$106*Modelo!$I$3:$I$106)+SUMPRODUCT((Modelo!$C$3:$C$106="Grupos")*(Modelo!$E$3:$E$106=$A47)*Modelo!$H$3:$H$106*Modelo!$J$3:$J$106)</f>
        <v/>
      </c>
      <c r="G47" s="16">
        <f>SUMPRODUCT((Modelo!$C$3:$C$106="Grupos")*(Modelo!$D$3:$D$106=$A47)*Modelo!$H$3:$H$106*Modelo!$J$3:$J$106)+SUMPRODUCT((Modelo!$C$3:$C$106="Grupos")*(Modelo!$E$3:$E$106=$A47)*Modelo!$H$3:$H$106*Modelo!$I$3:$I$106)</f>
        <v/>
      </c>
      <c r="H47" s="16">
        <f>$F47-$G47</f>
        <v/>
      </c>
      <c r="I47" s="16">
        <f>3*$C47+$D47</f>
        <v/>
      </c>
      <c r="J47" s="16">
        <f>1+SUMPRODUCT(($K$47:$K$50&gt;$K47)*1)</f>
        <v/>
      </c>
      <c r="K47" s="16">
        <f>$I47*1000000+($H47+200)*1000+$F47</f>
        <v/>
      </c>
    </row>
    <row r="48" ht="15" customHeight="1">
      <c r="A48" s="7" t="inlineStr">
        <is>
          <t>Egipto</t>
        </is>
      </c>
      <c r="B48" s="16">
        <f>SUMPRODUCT((Modelo!$C$3:$C$106="Grupos")*((Modelo!$D$3:$D$106=$A48)+(Modelo!$E$3:$E$106=$A48))*Modelo!$H$3:$H$106)</f>
        <v/>
      </c>
      <c r="C48" s="16">
        <f>SUMPRODUCT((Modelo!$C$3:$C$106="Grupos")*(Modelo!$D$3:$D$106=$A48)*Modelo!$H$3:$H$106*(Modelo!$I$3:$I$106&gt;Modelo!$J$3:$J$106))+SUMPRODUCT((Modelo!$C$3:$C$106="Grupos")*(Modelo!$E$3:$E$106=$A48)*Modelo!$H$3:$H$106*(Modelo!$J$3:$J$106&gt;Modelo!$I$3:$I$106))</f>
        <v/>
      </c>
      <c r="D48" s="16">
        <f>SUMPRODUCT((Modelo!$C$3:$C$106="Grupos")*((Modelo!$D$3:$D$106=$A48)+(Modelo!$E$3:$E$106=$A48))*Modelo!$H$3:$H$106*(Modelo!$I$3:$I$106=Modelo!$J$3:$J$106))</f>
        <v/>
      </c>
      <c r="E48" s="16">
        <f>$B48-$C48-$D48</f>
        <v/>
      </c>
      <c r="F48" s="16">
        <f>SUMPRODUCT((Modelo!$C$3:$C$106="Grupos")*(Modelo!$D$3:$D$106=$A48)*Modelo!$H$3:$H$106*Modelo!$I$3:$I$106)+SUMPRODUCT((Modelo!$C$3:$C$106="Grupos")*(Modelo!$E$3:$E$106=$A48)*Modelo!$H$3:$H$106*Modelo!$J$3:$J$106)</f>
        <v/>
      </c>
      <c r="G48" s="16">
        <f>SUMPRODUCT((Modelo!$C$3:$C$106="Grupos")*(Modelo!$D$3:$D$106=$A48)*Modelo!$H$3:$H$106*Modelo!$J$3:$J$106)+SUMPRODUCT((Modelo!$C$3:$C$106="Grupos")*(Modelo!$E$3:$E$106=$A48)*Modelo!$H$3:$H$106*Modelo!$I$3:$I$106)</f>
        <v/>
      </c>
      <c r="H48" s="16">
        <f>$F48-$G48</f>
        <v/>
      </c>
      <c r="I48" s="16">
        <f>3*$C48+$D48</f>
        <v/>
      </c>
      <c r="J48" s="16">
        <f>1+SUMPRODUCT(($K$47:$K$50&gt;$K48)*1)</f>
        <v/>
      </c>
      <c r="K48" s="16">
        <f>$I48*1000000+($H48+200)*1000+$F48</f>
        <v/>
      </c>
    </row>
    <row r="49" ht="15" customHeight="1">
      <c r="A49" s="7" t="inlineStr">
        <is>
          <t>Irán</t>
        </is>
      </c>
      <c r="B49" s="16">
        <f>SUMPRODUCT((Modelo!$C$3:$C$106="Grupos")*((Modelo!$D$3:$D$106=$A49)+(Modelo!$E$3:$E$106=$A49))*Modelo!$H$3:$H$106)</f>
        <v/>
      </c>
      <c r="C49" s="16">
        <f>SUMPRODUCT((Modelo!$C$3:$C$106="Grupos")*(Modelo!$D$3:$D$106=$A49)*Modelo!$H$3:$H$106*(Modelo!$I$3:$I$106&gt;Modelo!$J$3:$J$106))+SUMPRODUCT((Modelo!$C$3:$C$106="Grupos")*(Modelo!$E$3:$E$106=$A49)*Modelo!$H$3:$H$106*(Modelo!$J$3:$J$106&gt;Modelo!$I$3:$I$106))</f>
        <v/>
      </c>
      <c r="D49" s="16">
        <f>SUMPRODUCT((Modelo!$C$3:$C$106="Grupos")*((Modelo!$D$3:$D$106=$A49)+(Modelo!$E$3:$E$106=$A49))*Modelo!$H$3:$H$106*(Modelo!$I$3:$I$106=Modelo!$J$3:$J$106))</f>
        <v/>
      </c>
      <c r="E49" s="16">
        <f>$B49-$C49-$D49</f>
        <v/>
      </c>
      <c r="F49" s="16">
        <f>SUMPRODUCT((Modelo!$C$3:$C$106="Grupos")*(Modelo!$D$3:$D$106=$A49)*Modelo!$H$3:$H$106*Modelo!$I$3:$I$106)+SUMPRODUCT((Modelo!$C$3:$C$106="Grupos")*(Modelo!$E$3:$E$106=$A49)*Modelo!$H$3:$H$106*Modelo!$J$3:$J$106)</f>
        <v/>
      </c>
      <c r="G49" s="16">
        <f>SUMPRODUCT((Modelo!$C$3:$C$106="Grupos")*(Modelo!$D$3:$D$106=$A49)*Modelo!$H$3:$H$106*Modelo!$J$3:$J$106)+SUMPRODUCT((Modelo!$C$3:$C$106="Grupos")*(Modelo!$E$3:$E$106=$A49)*Modelo!$H$3:$H$106*Modelo!$I$3:$I$106)</f>
        <v/>
      </c>
      <c r="H49" s="16">
        <f>$F49-$G49</f>
        <v/>
      </c>
      <c r="I49" s="16">
        <f>3*$C49+$D49</f>
        <v/>
      </c>
      <c r="J49" s="16">
        <f>1+SUMPRODUCT(($K$47:$K$50&gt;$K49)*1)</f>
        <v/>
      </c>
      <c r="K49" s="16">
        <f>$I49*1000000+($H49+200)*1000+$F49</f>
        <v/>
      </c>
    </row>
    <row r="50" ht="15" customHeight="1">
      <c r="A50" s="7" t="inlineStr">
        <is>
          <t>Nueva Zelanda</t>
        </is>
      </c>
      <c r="B50" s="16">
        <f>SUMPRODUCT((Modelo!$C$3:$C$106="Grupos")*((Modelo!$D$3:$D$106=$A50)+(Modelo!$E$3:$E$106=$A50))*Modelo!$H$3:$H$106)</f>
        <v/>
      </c>
      <c r="C50" s="16">
        <f>SUMPRODUCT((Modelo!$C$3:$C$106="Grupos")*(Modelo!$D$3:$D$106=$A50)*Modelo!$H$3:$H$106*(Modelo!$I$3:$I$106&gt;Modelo!$J$3:$J$106))+SUMPRODUCT((Modelo!$C$3:$C$106="Grupos")*(Modelo!$E$3:$E$106=$A50)*Modelo!$H$3:$H$106*(Modelo!$J$3:$J$106&gt;Modelo!$I$3:$I$106))</f>
        <v/>
      </c>
      <c r="D50" s="16">
        <f>SUMPRODUCT((Modelo!$C$3:$C$106="Grupos")*((Modelo!$D$3:$D$106=$A50)+(Modelo!$E$3:$E$106=$A50))*Modelo!$H$3:$H$106*(Modelo!$I$3:$I$106=Modelo!$J$3:$J$106))</f>
        <v/>
      </c>
      <c r="E50" s="16">
        <f>$B50-$C50-$D50</f>
        <v/>
      </c>
      <c r="F50" s="16">
        <f>SUMPRODUCT((Modelo!$C$3:$C$106="Grupos")*(Modelo!$D$3:$D$106=$A50)*Modelo!$H$3:$H$106*Modelo!$I$3:$I$106)+SUMPRODUCT((Modelo!$C$3:$C$106="Grupos")*(Modelo!$E$3:$E$106=$A50)*Modelo!$H$3:$H$106*Modelo!$J$3:$J$106)</f>
        <v/>
      </c>
      <c r="G50" s="16">
        <f>SUMPRODUCT((Modelo!$C$3:$C$106="Grupos")*(Modelo!$D$3:$D$106=$A50)*Modelo!$H$3:$H$106*Modelo!$J$3:$J$106)+SUMPRODUCT((Modelo!$C$3:$C$106="Grupos")*(Modelo!$E$3:$E$106=$A50)*Modelo!$H$3:$H$106*Modelo!$I$3:$I$106)</f>
        <v/>
      </c>
      <c r="H50" s="16">
        <f>$F50-$G50</f>
        <v/>
      </c>
      <c r="I50" s="16">
        <f>3*$C50+$D50</f>
        <v/>
      </c>
      <c r="J50" s="16">
        <f>1+SUMPRODUCT(($K$47:$K$50&gt;$K50)*1)</f>
        <v/>
      </c>
      <c r="K50" s="16">
        <f>$I50*1000000+($H50+200)*1000+$F50</f>
        <v/>
      </c>
    </row>
    <row r="52" ht="15" customHeight="1">
      <c r="A52" s="5" t="inlineStr">
        <is>
          <t>GRUPO H</t>
        </is>
      </c>
    </row>
    <row r="53" ht="15" customHeight="1">
      <c r="A53" s="1" t="inlineStr">
        <is>
          <t>Equipo</t>
        </is>
      </c>
      <c r="B53" s="1" t="inlineStr">
        <is>
          <t>PJ</t>
        </is>
      </c>
      <c r="C53" s="1" t="inlineStr">
        <is>
          <t>PG</t>
        </is>
      </c>
      <c r="D53" s="1" t="inlineStr">
        <is>
          <t>PE</t>
        </is>
      </c>
      <c r="E53" s="1" t="inlineStr">
        <is>
          <t>PP</t>
        </is>
      </c>
      <c r="F53" s="1" t="inlineStr">
        <is>
          <t>GF</t>
        </is>
      </c>
      <c r="G53" s="1" t="inlineStr">
        <is>
          <t>GC</t>
        </is>
      </c>
      <c r="H53" s="1" t="inlineStr">
        <is>
          <t>DG</t>
        </is>
      </c>
      <c r="I53" s="1" t="inlineStr">
        <is>
          <t>Pts</t>
        </is>
      </c>
      <c r="J53" s="1" t="inlineStr">
        <is>
          <t>Pos</t>
        </is>
      </c>
      <c r="K53" s="1" t="inlineStr">
        <is>
          <t>Score</t>
        </is>
      </c>
    </row>
    <row r="54" ht="15" customHeight="1">
      <c r="A54" s="7" t="inlineStr">
        <is>
          <t>España</t>
        </is>
      </c>
      <c r="B54" s="16">
        <f>SUMPRODUCT((Modelo!$C$3:$C$106="Grupos")*((Modelo!$D$3:$D$106=$A54)+(Modelo!$E$3:$E$106=$A54))*Modelo!$H$3:$H$106)</f>
        <v/>
      </c>
      <c r="C54" s="16">
        <f>SUMPRODUCT((Modelo!$C$3:$C$106="Grupos")*(Modelo!$D$3:$D$106=$A54)*Modelo!$H$3:$H$106*(Modelo!$I$3:$I$106&gt;Modelo!$J$3:$J$106))+SUMPRODUCT((Modelo!$C$3:$C$106="Grupos")*(Modelo!$E$3:$E$106=$A54)*Modelo!$H$3:$H$106*(Modelo!$J$3:$J$106&gt;Modelo!$I$3:$I$106))</f>
        <v/>
      </c>
      <c r="D54" s="16">
        <f>SUMPRODUCT((Modelo!$C$3:$C$106="Grupos")*((Modelo!$D$3:$D$106=$A54)+(Modelo!$E$3:$E$106=$A54))*Modelo!$H$3:$H$106*(Modelo!$I$3:$I$106=Modelo!$J$3:$J$106))</f>
        <v/>
      </c>
      <c r="E54" s="16">
        <f>$B54-$C54-$D54</f>
        <v/>
      </c>
      <c r="F54" s="16">
        <f>SUMPRODUCT((Modelo!$C$3:$C$106="Grupos")*(Modelo!$D$3:$D$106=$A54)*Modelo!$H$3:$H$106*Modelo!$I$3:$I$106)+SUMPRODUCT((Modelo!$C$3:$C$106="Grupos")*(Modelo!$E$3:$E$106=$A54)*Modelo!$H$3:$H$106*Modelo!$J$3:$J$106)</f>
        <v/>
      </c>
      <c r="G54" s="16">
        <f>SUMPRODUCT((Modelo!$C$3:$C$106="Grupos")*(Modelo!$D$3:$D$106=$A54)*Modelo!$H$3:$H$106*Modelo!$J$3:$J$106)+SUMPRODUCT((Modelo!$C$3:$C$106="Grupos")*(Modelo!$E$3:$E$106=$A54)*Modelo!$H$3:$H$106*Modelo!$I$3:$I$106)</f>
        <v/>
      </c>
      <c r="H54" s="16">
        <f>$F54-$G54</f>
        <v/>
      </c>
      <c r="I54" s="16">
        <f>3*$C54+$D54</f>
        <v/>
      </c>
      <c r="J54" s="16">
        <f>1+SUMPRODUCT(($K$54:$K$57&gt;$K54)*1)</f>
        <v/>
      </c>
      <c r="K54" s="16">
        <f>$I54*1000000+($H54+200)*1000+$F54</f>
        <v/>
      </c>
    </row>
    <row r="55" ht="15" customHeight="1">
      <c r="A55" s="7" t="inlineStr">
        <is>
          <t>Cabo Verde</t>
        </is>
      </c>
      <c r="B55" s="16">
        <f>SUMPRODUCT((Modelo!$C$3:$C$106="Grupos")*((Modelo!$D$3:$D$106=$A55)+(Modelo!$E$3:$E$106=$A55))*Modelo!$H$3:$H$106)</f>
        <v/>
      </c>
      <c r="C55" s="16">
        <f>SUMPRODUCT((Modelo!$C$3:$C$106="Grupos")*(Modelo!$D$3:$D$106=$A55)*Modelo!$H$3:$H$106*(Modelo!$I$3:$I$106&gt;Modelo!$J$3:$J$106))+SUMPRODUCT((Modelo!$C$3:$C$106="Grupos")*(Modelo!$E$3:$E$106=$A55)*Modelo!$H$3:$H$106*(Modelo!$J$3:$J$106&gt;Modelo!$I$3:$I$106))</f>
        <v/>
      </c>
      <c r="D55" s="16">
        <f>SUMPRODUCT((Modelo!$C$3:$C$106="Grupos")*((Modelo!$D$3:$D$106=$A55)+(Modelo!$E$3:$E$106=$A55))*Modelo!$H$3:$H$106*(Modelo!$I$3:$I$106=Modelo!$J$3:$J$106))</f>
        <v/>
      </c>
      <c r="E55" s="16">
        <f>$B55-$C55-$D55</f>
        <v/>
      </c>
      <c r="F55" s="16">
        <f>SUMPRODUCT((Modelo!$C$3:$C$106="Grupos")*(Modelo!$D$3:$D$106=$A55)*Modelo!$H$3:$H$106*Modelo!$I$3:$I$106)+SUMPRODUCT((Modelo!$C$3:$C$106="Grupos")*(Modelo!$E$3:$E$106=$A55)*Modelo!$H$3:$H$106*Modelo!$J$3:$J$106)</f>
        <v/>
      </c>
      <c r="G55" s="16">
        <f>SUMPRODUCT((Modelo!$C$3:$C$106="Grupos")*(Modelo!$D$3:$D$106=$A55)*Modelo!$H$3:$H$106*Modelo!$J$3:$J$106)+SUMPRODUCT((Modelo!$C$3:$C$106="Grupos")*(Modelo!$E$3:$E$106=$A55)*Modelo!$H$3:$H$106*Modelo!$I$3:$I$106)</f>
        <v/>
      </c>
      <c r="H55" s="16">
        <f>$F55-$G55</f>
        <v/>
      </c>
      <c r="I55" s="16">
        <f>3*$C55+$D55</f>
        <v/>
      </c>
      <c r="J55" s="16">
        <f>1+SUMPRODUCT(($K$54:$K$57&gt;$K55)*1)</f>
        <v/>
      </c>
      <c r="K55" s="16">
        <f>$I55*1000000+($H55+200)*1000+$F55</f>
        <v/>
      </c>
    </row>
    <row r="56" ht="15" customHeight="1">
      <c r="A56" s="7" t="inlineStr">
        <is>
          <t>Arabia Saudita</t>
        </is>
      </c>
      <c r="B56" s="16">
        <f>SUMPRODUCT((Modelo!$C$3:$C$106="Grupos")*((Modelo!$D$3:$D$106=$A56)+(Modelo!$E$3:$E$106=$A56))*Modelo!$H$3:$H$106)</f>
        <v/>
      </c>
      <c r="C56" s="16">
        <f>SUMPRODUCT((Modelo!$C$3:$C$106="Grupos")*(Modelo!$D$3:$D$106=$A56)*Modelo!$H$3:$H$106*(Modelo!$I$3:$I$106&gt;Modelo!$J$3:$J$106))+SUMPRODUCT((Modelo!$C$3:$C$106="Grupos")*(Modelo!$E$3:$E$106=$A56)*Modelo!$H$3:$H$106*(Modelo!$J$3:$J$106&gt;Modelo!$I$3:$I$106))</f>
        <v/>
      </c>
      <c r="D56" s="16">
        <f>SUMPRODUCT((Modelo!$C$3:$C$106="Grupos")*((Modelo!$D$3:$D$106=$A56)+(Modelo!$E$3:$E$106=$A56))*Modelo!$H$3:$H$106*(Modelo!$I$3:$I$106=Modelo!$J$3:$J$106))</f>
        <v/>
      </c>
      <c r="E56" s="16">
        <f>$B56-$C56-$D56</f>
        <v/>
      </c>
      <c r="F56" s="16">
        <f>SUMPRODUCT((Modelo!$C$3:$C$106="Grupos")*(Modelo!$D$3:$D$106=$A56)*Modelo!$H$3:$H$106*Modelo!$I$3:$I$106)+SUMPRODUCT((Modelo!$C$3:$C$106="Grupos")*(Modelo!$E$3:$E$106=$A56)*Modelo!$H$3:$H$106*Modelo!$J$3:$J$106)</f>
        <v/>
      </c>
      <c r="G56" s="16">
        <f>SUMPRODUCT((Modelo!$C$3:$C$106="Grupos")*(Modelo!$D$3:$D$106=$A56)*Modelo!$H$3:$H$106*Modelo!$J$3:$J$106)+SUMPRODUCT((Modelo!$C$3:$C$106="Grupos")*(Modelo!$E$3:$E$106=$A56)*Modelo!$H$3:$H$106*Modelo!$I$3:$I$106)</f>
        <v/>
      </c>
      <c r="H56" s="16">
        <f>$F56-$G56</f>
        <v/>
      </c>
      <c r="I56" s="16">
        <f>3*$C56+$D56</f>
        <v/>
      </c>
      <c r="J56" s="16">
        <f>1+SUMPRODUCT(($K$54:$K$57&gt;$K56)*1)</f>
        <v/>
      </c>
      <c r="K56" s="16">
        <f>$I56*1000000+($H56+200)*1000+$F56</f>
        <v/>
      </c>
    </row>
    <row r="57" ht="15" customHeight="1">
      <c r="A57" s="7" t="inlineStr">
        <is>
          <t>Uruguay</t>
        </is>
      </c>
      <c r="B57" s="16">
        <f>SUMPRODUCT((Modelo!$C$3:$C$106="Grupos")*((Modelo!$D$3:$D$106=$A57)+(Modelo!$E$3:$E$106=$A57))*Modelo!$H$3:$H$106)</f>
        <v/>
      </c>
      <c r="C57" s="16">
        <f>SUMPRODUCT((Modelo!$C$3:$C$106="Grupos")*(Modelo!$D$3:$D$106=$A57)*Modelo!$H$3:$H$106*(Modelo!$I$3:$I$106&gt;Modelo!$J$3:$J$106))+SUMPRODUCT((Modelo!$C$3:$C$106="Grupos")*(Modelo!$E$3:$E$106=$A57)*Modelo!$H$3:$H$106*(Modelo!$J$3:$J$106&gt;Modelo!$I$3:$I$106))</f>
        <v/>
      </c>
      <c r="D57" s="16">
        <f>SUMPRODUCT((Modelo!$C$3:$C$106="Grupos")*((Modelo!$D$3:$D$106=$A57)+(Modelo!$E$3:$E$106=$A57))*Modelo!$H$3:$H$106*(Modelo!$I$3:$I$106=Modelo!$J$3:$J$106))</f>
        <v/>
      </c>
      <c r="E57" s="16">
        <f>$B57-$C57-$D57</f>
        <v/>
      </c>
      <c r="F57" s="16">
        <f>SUMPRODUCT((Modelo!$C$3:$C$106="Grupos")*(Modelo!$D$3:$D$106=$A57)*Modelo!$H$3:$H$106*Modelo!$I$3:$I$106)+SUMPRODUCT((Modelo!$C$3:$C$106="Grupos")*(Modelo!$E$3:$E$106=$A57)*Modelo!$H$3:$H$106*Modelo!$J$3:$J$106)</f>
        <v/>
      </c>
      <c r="G57" s="16">
        <f>SUMPRODUCT((Modelo!$C$3:$C$106="Grupos")*(Modelo!$D$3:$D$106=$A57)*Modelo!$H$3:$H$106*Modelo!$J$3:$J$106)+SUMPRODUCT((Modelo!$C$3:$C$106="Grupos")*(Modelo!$E$3:$E$106=$A57)*Modelo!$H$3:$H$106*Modelo!$I$3:$I$106)</f>
        <v/>
      </c>
      <c r="H57" s="16">
        <f>$F57-$G57</f>
        <v/>
      </c>
      <c r="I57" s="16">
        <f>3*$C57+$D57</f>
        <v/>
      </c>
      <c r="J57" s="16">
        <f>1+SUMPRODUCT(($K$54:$K$57&gt;$K57)*1)</f>
        <v/>
      </c>
      <c r="K57" s="16">
        <f>$I57*1000000+($H57+200)*1000+$F57</f>
        <v/>
      </c>
    </row>
    <row r="59" ht="15" customHeight="1">
      <c r="A59" s="5" t="inlineStr">
        <is>
          <t>GRUPO I</t>
        </is>
      </c>
    </row>
    <row r="60" ht="15" customHeight="1">
      <c r="A60" s="1" t="inlineStr">
        <is>
          <t>Equipo</t>
        </is>
      </c>
      <c r="B60" s="1" t="inlineStr">
        <is>
          <t>PJ</t>
        </is>
      </c>
      <c r="C60" s="1" t="inlineStr">
        <is>
          <t>PG</t>
        </is>
      </c>
      <c r="D60" s="1" t="inlineStr">
        <is>
          <t>PE</t>
        </is>
      </c>
      <c r="E60" s="1" t="inlineStr">
        <is>
          <t>PP</t>
        </is>
      </c>
      <c r="F60" s="1" t="inlineStr">
        <is>
          <t>GF</t>
        </is>
      </c>
      <c r="G60" s="1" t="inlineStr">
        <is>
          <t>GC</t>
        </is>
      </c>
      <c r="H60" s="1" t="inlineStr">
        <is>
          <t>DG</t>
        </is>
      </c>
      <c r="I60" s="1" t="inlineStr">
        <is>
          <t>Pts</t>
        </is>
      </c>
      <c r="J60" s="1" t="inlineStr">
        <is>
          <t>Pos</t>
        </is>
      </c>
      <c r="K60" s="1" t="inlineStr">
        <is>
          <t>Score</t>
        </is>
      </c>
    </row>
    <row r="61" ht="15" customHeight="1">
      <c r="A61" s="7" t="inlineStr">
        <is>
          <t>Francia</t>
        </is>
      </c>
      <c r="B61" s="16">
        <f>SUMPRODUCT((Modelo!$C$3:$C$106="Grupos")*((Modelo!$D$3:$D$106=$A61)+(Modelo!$E$3:$E$106=$A61))*Modelo!$H$3:$H$106)</f>
        <v/>
      </c>
      <c r="C61" s="16">
        <f>SUMPRODUCT((Modelo!$C$3:$C$106="Grupos")*(Modelo!$D$3:$D$106=$A61)*Modelo!$H$3:$H$106*(Modelo!$I$3:$I$106&gt;Modelo!$J$3:$J$106))+SUMPRODUCT((Modelo!$C$3:$C$106="Grupos")*(Modelo!$E$3:$E$106=$A61)*Modelo!$H$3:$H$106*(Modelo!$J$3:$J$106&gt;Modelo!$I$3:$I$106))</f>
        <v/>
      </c>
      <c r="D61" s="16">
        <f>SUMPRODUCT((Modelo!$C$3:$C$106="Grupos")*((Modelo!$D$3:$D$106=$A61)+(Modelo!$E$3:$E$106=$A61))*Modelo!$H$3:$H$106*(Modelo!$I$3:$I$106=Modelo!$J$3:$J$106))</f>
        <v/>
      </c>
      <c r="E61" s="16">
        <f>$B61-$C61-$D61</f>
        <v/>
      </c>
      <c r="F61" s="16">
        <f>SUMPRODUCT((Modelo!$C$3:$C$106="Grupos")*(Modelo!$D$3:$D$106=$A61)*Modelo!$H$3:$H$106*Modelo!$I$3:$I$106)+SUMPRODUCT((Modelo!$C$3:$C$106="Grupos")*(Modelo!$E$3:$E$106=$A61)*Modelo!$H$3:$H$106*Modelo!$J$3:$J$106)</f>
        <v/>
      </c>
      <c r="G61" s="16">
        <f>SUMPRODUCT((Modelo!$C$3:$C$106="Grupos")*(Modelo!$D$3:$D$106=$A61)*Modelo!$H$3:$H$106*Modelo!$J$3:$J$106)+SUMPRODUCT((Modelo!$C$3:$C$106="Grupos")*(Modelo!$E$3:$E$106=$A61)*Modelo!$H$3:$H$106*Modelo!$I$3:$I$106)</f>
        <v/>
      </c>
      <c r="H61" s="16">
        <f>$F61-$G61</f>
        <v/>
      </c>
      <c r="I61" s="16">
        <f>3*$C61+$D61</f>
        <v/>
      </c>
      <c r="J61" s="16">
        <f>1+SUMPRODUCT(($K$61:$K$64&gt;$K61)*1)</f>
        <v/>
      </c>
      <c r="K61" s="16">
        <f>$I61*1000000+($H61+200)*1000+$F61</f>
        <v/>
      </c>
    </row>
    <row r="62" ht="15" customHeight="1">
      <c r="A62" s="7" t="inlineStr">
        <is>
          <t>Senegal</t>
        </is>
      </c>
      <c r="B62" s="16">
        <f>SUMPRODUCT((Modelo!$C$3:$C$106="Grupos")*((Modelo!$D$3:$D$106=$A62)+(Modelo!$E$3:$E$106=$A62))*Modelo!$H$3:$H$106)</f>
        <v/>
      </c>
      <c r="C62" s="16">
        <f>SUMPRODUCT((Modelo!$C$3:$C$106="Grupos")*(Modelo!$D$3:$D$106=$A62)*Modelo!$H$3:$H$106*(Modelo!$I$3:$I$106&gt;Modelo!$J$3:$J$106))+SUMPRODUCT((Modelo!$C$3:$C$106="Grupos")*(Modelo!$E$3:$E$106=$A62)*Modelo!$H$3:$H$106*(Modelo!$J$3:$J$106&gt;Modelo!$I$3:$I$106))</f>
        <v/>
      </c>
      <c r="D62" s="16">
        <f>SUMPRODUCT((Modelo!$C$3:$C$106="Grupos")*((Modelo!$D$3:$D$106=$A62)+(Modelo!$E$3:$E$106=$A62))*Modelo!$H$3:$H$106*(Modelo!$I$3:$I$106=Modelo!$J$3:$J$106))</f>
        <v/>
      </c>
      <c r="E62" s="16">
        <f>$B62-$C62-$D62</f>
        <v/>
      </c>
      <c r="F62" s="16">
        <f>SUMPRODUCT((Modelo!$C$3:$C$106="Grupos")*(Modelo!$D$3:$D$106=$A62)*Modelo!$H$3:$H$106*Modelo!$I$3:$I$106)+SUMPRODUCT((Modelo!$C$3:$C$106="Grupos")*(Modelo!$E$3:$E$106=$A62)*Modelo!$H$3:$H$106*Modelo!$J$3:$J$106)</f>
        <v/>
      </c>
      <c r="G62" s="16">
        <f>SUMPRODUCT((Modelo!$C$3:$C$106="Grupos")*(Modelo!$D$3:$D$106=$A62)*Modelo!$H$3:$H$106*Modelo!$J$3:$J$106)+SUMPRODUCT((Modelo!$C$3:$C$106="Grupos")*(Modelo!$E$3:$E$106=$A62)*Modelo!$H$3:$H$106*Modelo!$I$3:$I$106)</f>
        <v/>
      </c>
      <c r="H62" s="16">
        <f>$F62-$G62</f>
        <v/>
      </c>
      <c r="I62" s="16">
        <f>3*$C62+$D62</f>
        <v/>
      </c>
      <c r="J62" s="16">
        <f>1+SUMPRODUCT(($K$61:$K$64&gt;$K62)*1)</f>
        <v/>
      </c>
      <c r="K62" s="16">
        <f>$I62*1000000+($H62+200)*1000+$F62</f>
        <v/>
      </c>
    </row>
    <row r="63" ht="15" customHeight="1">
      <c r="A63" s="7" t="inlineStr">
        <is>
          <t>Irak</t>
        </is>
      </c>
      <c r="B63" s="16">
        <f>SUMPRODUCT((Modelo!$C$3:$C$106="Grupos")*((Modelo!$D$3:$D$106=$A63)+(Modelo!$E$3:$E$106=$A63))*Modelo!$H$3:$H$106)</f>
        <v/>
      </c>
      <c r="C63" s="16">
        <f>SUMPRODUCT((Modelo!$C$3:$C$106="Grupos")*(Modelo!$D$3:$D$106=$A63)*Modelo!$H$3:$H$106*(Modelo!$I$3:$I$106&gt;Modelo!$J$3:$J$106))+SUMPRODUCT((Modelo!$C$3:$C$106="Grupos")*(Modelo!$E$3:$E$106=$A63)*Modelo!$H$3:$H$106*(Modelo!$J$3:$J$106&gt;Modelo!$I$3:$I$106))</f>
        <v/>
      </c>
      <c r="D63" s="16">
        <f>SUMPRODUCT((Modelo!$C$3:$C$106="Grupos")*((Modelo!$D$3:$D$106=$A63)+(Modelo!$E$3:$E$106=$A63))*Modelo!$H$3:$H$106*(Modelo!$I$3:$I$106=Modelo!$J$3:$J$106))</f>
        <v/>
      </c>
      <c r="E63" s="16">
        <f>$B63-$C63-$D63</f>
        <v/>
      </c>
      <c r="F63" s="16">
        <f>SUMPRODUCT((Modelo!$C$3:$C$106="Grupos")*(Modelo!$D$3:$D$106=$A63)*Modelo!$H$3:$H$106*Modelo!$I$3:$I$106)+SUMPRODUCT((Modelo!$C$3:$C$106="Grupos")*(Modelo!$E$3:$E$106=$A63)*Modelo!$H$3:$H$106*Modelo!$J$3:$J$106)</f>
        <v/>
      </c>
      <c r="G63" s="16">
        <f>SUMPRODUCT((Modelo!$C$3:$C$106="Grupos")*(Modelo!$D$3:$D$106=$A63)*Modelo!$H$3:$H$106*Modelo!$J$3:$J$106)+SUMPRODUCT((Modelo!$C$3:$C$106="Grupos")*(Modelo!$E$3:$E$106=$A63)*Modelo!$H$3:$H$106*Modelo!$I$3:$I$106)</f>
        <v/>
      </c>
      <c r="H63" s="16">
        <f>$F63-$G63</f>
        <v/>
      </c>
      <c r="I63" s="16">
        <f>3*$C63+$D63</f>
        <v/>
      </c>
      <c r="J63" s="16">
        <f>1+SUMPRODUCT(($K$61:$K$64&gt;$K63)*1)</f>
        <v/>
      </c>
      <c r="K63" s="16">
        <f>$I63*1000000+($H63+200)*1000+$F63</f>
        <v/>
      </c>
    </row>
    <row r="64" ht="15" customHeight="1">
      <c r="A64" s="7" t="inlineStr">
        <is>
          <t>Noruega</t>
        </is>
      </c>
      <c r="B64" s="16">
        <f>SUMPRODUCT((Modelo!$C$3:$C$106="Grupos")*((Modelo!$D$3:$D$106=$A64)+(Modelo!$E$3:$E$106=$A64))*Modelo!$H$3:$H$106)</f>
        <v/>
      </c>
      <c r="C64" s="16">
        <f>SUMPRODUCT((Modelo!$C$3:$C$106="Grupos")*(Modelo!$D$3:$D$106=$A64)*Modelo!$H$3:$H$106*(Modelo!$I$3:$I$106&gt;Modelo!$J$3:$J$106))+SUMPRODUCT((Modelo!$C$3:$C$106="Grupos")*(Modelo!$E$3:$E$106=$A64)*Modelo!$H$3:$H$106*(Modelo!$J$3:$J$106&gt;Modelo!$I$3:$I$106))</f>
        <v/>
      </c>
      <c r="D64" s="16">
        <f>SUMPRODUCT((Modelo!$C$3:$C$106="Grupos")*((Modelo!$D$3:$D$106=$A64)+(Modelo!$E$3:$E$106=$A64))*Modelo!$H$3:$H$106*(Modelo!$I$3:$I$106=Modelo!$J$3:$J$106))</f>
        <v/>
      </c>
      <c r="E64" s="16">
        <f>$B64-$C64-$D64</f>
        <v/>
      </c>
      <c r="F64" s="16">
        <f>SUMPRODUCT((Modelo!$C$3:$C$106="Grupos")*(Modelo!$D$3:$D$106=$A64)*Modelo!$H$3:$H$106*Modelo!$I$3:$I$106)+SUMPRODUCT((Modelo!$C$3:$C$106="Grupos")*(Modelo!$E$3:$E$106=$A64)*Modelo!$H$3:$H$106*Modelo!$J$3:$J$106)</f>
        <v/>
      </c>
      <c r="G64" s="16">
        <f>SUMPRODUCT((Modelo!$C$3:$C$106="Grupos")*(Modelo!$D$3:$D$106=$A64)*Modelo!$H$3:$H$106*Modelo!$J$3:$J$106)+SUMPRODUCT((Modelo!$C$3:$C$106="Grupos")*(Modelo!$E$3:$E$106=$A64)*Modelo!$H$3:$H$106*Modelo!$I$3:$I$106)</f>
        <v/>
      </c>
      <c r="H64" s="16">
        <f>$F64-$G64</f>
        <v/>
      </c>
      <c r="I64" s="16">
        <f>3*$C64+$D64</f>
        <v/>
      </c>
      <c r="J64" s="16">
        <f>1+SUMPRODUCT(($K$61:$K$64&gt;$K64)*1)</f>
        <v/>
      </c>
      <c r="K64" s="16">
        <f>$I64*1000000+($H64+200)*1000+$F64</f>
        <v/>
      </c>
    </row>
    <row r="66" ht="15" customHeight="1">
      <c r="A66" s="5" t="inlineStr">
        <is>
          <t>GRUPO J</t>
        </is>
      </c>
    </row>
    <row r="67" ht="15" customHeight="1">
      <c r="A67" s="1" t="inlineStr">
        <is>
          <t>Equipo</t>
        </is>
      </c>
      <c r="B67" s="1" t="inlineStr">
        <is>
          <t>PJ</t>
        </is>
      </c>
      <c r="C67" s="1" t="inlineStr">
        <is>
          <t>PG</t>
        </is>
      </c>
      <c r="D67" s="1" t="inlineStr">
        <is>
          <t>PE</t>
        </is>
      </c>
      <c r="E67" s="1" t="inlineStr">
        <is>
          <t>PP</t>
        </is>
      </c>
      <c r="F67" s="1" t="inlineStr">
        <is>
          <t>GF</t>
        </is>
      </c>
      <c r="G67" s="1" t="inlineStr">
        <is>
          <t>GC</t>
        </is>
      </c>
      <c r="H67" s="1" t="inlineStr">
        <is>
          <t>DG</t>
        </is>
      </c>
      <c r="I67" s="1" t="inlineStr">
        <is>
          <t>Pts</t>
        </is>
      </c>
      <c r="J67" s="1" t="inlineStr">
        <is>
          <t>Pos</t>
        </is>
      </c>
      <c r="K67" s="1" t="inlineStr">
        <is>
          <t>Score</t>
        </is>
      </c>
    </row>
    <row r="68" ht="15" customHeight="1">
      <c r="A68" s="7" t="inlineStr">
        <is>
          <t>Argentina</t>
        </is>
      </c>
      <c r="B68" s="16">
        <f>SUMPRODUCT((Modelo!$C$3:$C$106="Grupos")*((Modelo!$D$3:$D$106=$A68)+(Modelo!$E$3:$E$106=$A68))*Modelo!$H$3:$H$106)</f>
        <v/>
      </c>
      <c r="C68" s="16">
        <f>SUMPRODUCT((Modelo!$C$3:$C$106="Grupos")*(Modelo!$D$3:$D$106=$A68)*Modelo!$H$3:$H$106*(Modelo!$I$3:$I$106&gt;Modelo!$J$3:$J$106))+SUMPRODUCT((Modelo!$C$3:$C$106="Grupos")*(Modelo!$E$3:$E$106=$A68)*Modelo!$H$3:$H$106*(Modelo!$J$3:$J$106&gt;Modelo!$I$3:$I$106))</f>
        <v/>
      </c>
      <c r="D68" s="16">
        <f>SUMPRODUCT((Modelo!$C$3:$C$106="Grupos")*((Modelo!$D$3:$D$106=$A68)+(Modelo!$E$3:$E$106=$A68))*Modelo!$H$3:$H$106*(Modelo!$I$3:$I$106=Modelo!$J$3:$J$106))</f>
        <v/>
      </c>
      <c r="E68" s="16">
        <f>$B68-$C68-$D68</f>
        <v/>
      </c>
      <c r="F68" s="16">
        <f>SUMPRODUCT((Modelo!$C$3:$C$106="Grupos")*(Modelo!$D$3:$D$106=$A68)*Modelo!$H$3:$H$106*Modelo!$I$3:$I$106)+SUMPRODUCT((Modelo!$C$3:$C$106="Grupos")*(Modelo!$E$3:$E$106=$A68)*Modelo!$H$3:$H$106*Modelo!$J$3:$J$106)</f>
        <v/>
      </c>
      <c r="G68" s="16">
        <f>SUMPRODUCT((Modelo!$C$3:$C$106="Grupos")*(Modelo!$D$3:$D$106=$A68)*Modelo!$H$3:$H$106*Modelo!$J$3:$J$106)+SUMPRODUCT((Modelo!$C$3:$C$106="Grupos")*(Modelo!$E$3:$E$106=$A68)*Modelo!$H$3:$H$106*Modelo!$I$3:$I$106)</f>
        <v/>
      </c>
      <c r="H68" s="16">
        <f>$F68-$G68</f>
        <v/>
      </c>
      <c r="I68" s="16">
        <f>3*$C68+$D68</f>
        <v/>
      </c>
      <c r="J68" s="16">
        <f>1+SUMPRODUCT(($K$68:$K$71&gt;$K68)*1)</f>
        <v/>
      </c>
      <c r="K68" s="16">
        <f>$I68*1000000+($H68+200)*1000+$F68</f>
        <v/>
      </c>
    </row>
    <row r="69" ht="15" customHeight="1">
      <c r="A69" s="7" t="inlineStr">
        <is>
          <t>Argelia</t>
        </is>
      </c>
      <c r="B69" s="16">
        <f>SUMPRODUCT((Modelo!$C$3:$C$106="Grupos")*((Modelo!$D$3:$D$106=$A69)+(Modelo!$E$3:$E$106=$A69))*Modelo!$H$3:$H$106)</f>
        <v/>
      </c>
      <c r="C69" s="16">
        <f>SUMPRODUCT((Modelo!$C$3:$C$106="Grupos")*(Modelo!$D$3:$D$106=$A69)*Modelo!$H$3:$H$106*(Modelo!$I$3:$I$106&gt;Modelo!$J$3:$J$106))+SUMPRODUCT((Modelo!$C$3:$C$106="Grupos")*(Modelo!$E$3:$E$106=$A69)*Modelo!$H$3:$H$106*(Modelo!$J$3:$J$106&gt;Modelo!$I$3:$I$106))</f>
        <v/>
      </c>
      <c r="D69" s="16">
        <f>SUMPRODUCT((Modelo!$C$3:$C$106="Grupos")*((Modelo!$D$3:$D$106=$A69)+(Modelo!$E$3:$E$106=$A69))*Modelo!$H$3:$H$106*(Modelo!$I$3:$I$106=Modelo!$J$3:$J$106))</f>
        <v/>
      </c>
      <c r="E69" s="16">
        <f>$B69-$C69-$D69</f>
        <v/>
      </c>
      <c r="F69" s="16">
        <f>SUMPRODUCT((Modelo!$C$3:$C$106="Grupos")*(Modelo!$D$3:$D$106=$A69)*Modelo!$H$3:$H$106*Modelo!$I$3:$I$106)+SUMPRODUCT((Modelo!$C$3:$C$106="Grupos")*(Modelo!$E$3:$E$106=$A69)*Modelo!$H$3:$H$106*Modelo!$J$3:$J$106)</f>
        <v/>
      </c>
      <c r="G69" s="16">
        <f>SUMPRODUCT((Modelo!$C$3:$C$106="Grupos")*(Modelo!$D$3:$D$106=$A69)*Modelo!$H$3:$H$106*Modelo!$J$3:$J$106)+SUMPRODUCT((Modelo!$C$3:$C$106="Grupos")*(Modelo!$E$3:$E$106=$A69)*Modelo!$H$3:$H$106*Modelo!$I$3:$I$106)</f>
        <v/>
      </c>
      <c r="H69" s="16">
        <f>$F69-$G69</f>
        <v/>
      </c>
      <c r="I69" s="16">
        <f>3*$C69+$D69</f>
        <v/>
      </c>
      <c r="J69" s="16">
        <f>1+SUMPRODUCT(($K$68:$K$71&gt;$K69)*1)</f>
        <v/>
      </c>
      <c r="K69" s="16">
        <f>$I69*1000000+($H69+200)*1000+$F69</f>
        <v/>
      </c>
    </row>
    <row r="70" ht="15" customHeight="1">
      <c r="A70" s="7" t="inlineStr">
        <is>
          <t>Austria</t>
        </is>
      </c>
      <c r="B70" s="16">
        <f>SUMPRODUCT((Modelo!$C$3:$C$106="Grupos")*((Modelo!$D$3:$D$106=$A70)+(Modelo!$E$3:$E$106=$A70))*Modelo!$H$3:$H$106)</f>
        <v/>
      </c>
      <c r="C70" s="16">
        <f>SUMPRODUCT((Modelo!$C$3:$C$106="Grupos")*(Modelo!$D$3:$D$106=$A70)*Modelo!$H$3:$H$106*(Modelo!$I$3:$I$106&gt;Modelo!$J$3:$J$106))+SUMPRODUCT((Modelo!$C$3:$C$106="Grupos")*(Modelo!$E$3:$E$106=$A70)*Modelo!$H$3:$H$106*(Modelo!$J$3:$J$106&gt;Modelo!$I$3:$I$106))</f>
        <v/>
      </c>
      <c r="D70" s="16">
        <f>SUMPRODUCT((Modelo!$C$3:$C$106="Grupos")*((Modelo!$D$3:$D$106=$A70)+(Modelo!$E$3:$E$106=$A70))*Modelo!$H$3:$H$106*(Modelo!$I$3:$I$106=Modelo!$J$3:$J$106))</f>
        <v/>
      </c>
      <c r="E70" s="16">
        <f>$B70-$C70-$D70</f>
        <v/>
      </c>
      <c r="F70" s="16">
        <f>SUMPRODUCT((Modelo!$C$3:$C$106="Grupos")*(Modelo!$D$3:$D$106=$A70)*Modelo!$H$3:$H$106*Modelo!$I$3:$I$106)+SUMPRODUCT((Modelo!$C$3:$C$106="Grupos")*(Modelo!$E$3:$E$106=$A70)*Modelo!$H$3:$H$106*Modelo!$J$3:$J$106)</f>
        <v/>
      </c>
      <c r="G70" s="16">
        <f>SUMPRODUCT((Modelo!$C$3:$C$106="Grupos")*(Modelo!$D$3:$D$106=$A70)*Modelo!$H$3:$H$106*Modelo!$J$3:$J$106)+SUMPRODUCT((Modelo!$C$3:$C$106="Grupos")*(Modelo!$E$3:$E$106=$A70)*Modelo!$H$3:$H$106*Modelo!$I$3:$I$106)</f>
        <v/>
      </c>
      <c r="H70" s="16">
        <f>$F70-$G70</f>
        <v/>
      </c>
      <c r="I70" s="16">
        <f>3*$C70+$D70</f>
        <v/>
      </c>
      <c r="J70" s="16">
        <f>1+SUMPRODUCT(($K$68:$K$71&gt;$K70)*1)</f>
        <v/>
      </c>
      <c r="K70" s="16">
        <f>$I70*1000000+($H70+200)*1000+$F70</f>
        <v/>
      </c>
    </row>
    <row r="71" ht="15" customHeight="1">
      <c r="A71" s="7" t="inlineStr">
        <is>
          <t>Jordania</t>
        </is>
      </c>
      <c r="B71" s="16">
        <f>SUMPRODUCT((Modelo!$C$3:$C$106="Grupos")*((Modelo!$D$3:$D$106=$A71)+(Modelo!$E$3:$E$106=$A71))*Modelo!$H$3:$H$106)</f>
        <v/>
      </c>
      <c r="C71" s="16">
        <f>SUMPRODUCT((Modelo!$C$3:$C$106="Grupos")*(Modelo!$D$3:$D$106=$A71)*Modelo!$H$3:$H$106*(Modelo!$I$3:$I$106&gt;Modelo!$J$3:$J$106))+SUMPRODUCT((Modelo!$C$3:$C$106="Grupos")*(Modelo!$E$3:$E$106=$A71)*Modelo!$H$3:$H$106*(Modelo!$J$3:$J$106&gt;Modelo!$I$3:$I$106))</f>
        <v/>
      </c>
      <c r="D71" s="16">
        <f>SUMPRODUCT((Modelo!$C$3:$C$106="Grupos")*((Modelo!$D$3:$D$106=$A71)+(Modelo!$E$3:$E$106=$A71))*Modelo!$H$3:$H$106*(Modelo!$I$3:$I$106=Modelo!$J$3:$J$106))</f>
        <v/>
      </c>
      <c r="E71" s="16">
        <f>$B71-$C71-$D71</f>
        <v/>
      </c>
      <c r="F71" s="16">
        <f>SUMPRODUCT((Modelo!$C$3:$C$106="Grupos")*(Modelo!$D$3:$D$106=$A71)*Modelo!$H$3:$H$106*Modelo!$I$3:$I$106)+SUMPRODUCT((Modelo!$C$3:$C$106="Grupos")*(Modelo!$E$3:$E$106=$A71)*Modelo!$H$3:$H$106*Modelo!$J$3:$J$106)</f>
        <v/>
      </c>
      <c r="G71" s="16">
        <f>SUMPRODUCT((Modelo!$C$3:$C$106="Grupos")*(Modelo!$D$3:$D$106=$A71)*Modelo!$H$3:$H$106*Modelo!$J$3:$J$106)+SUMPRODUCT((Modelo!$C$3:$C$106="Grupos")*(Modelo!$E$3:$E$106=$A71)*Modelo!$H$3:$H$106*Modelo!$I$3:$I$106)</f>
        <v/>
      </c>
      <c r="H71" s="16">
        <f>$F71-$G71</f>
        <v/>
      </c>
      <c r="I71" s="16">
        <f>3*$C71+$D71</f>
        <v/>
      </c>
      <c r="J71" s="16">
        <f>1+SUMPRODUCT(($K$68:$K$71&gt;$K71)*1)</f>
        <v/>
      </c>
      <c r="K71" s="16">
        <f>$I71*1000000+($H71+200)*1000+$F71</f>
        <v/>
      </c>
    </row>
    <row r="73" ht="15" customHeight="1">
      <c r="A73" s="5" t="inlineStr">
        <is>
          <t>GRUPO K</t>
        </is>
      </c>
    </row>
    <row r="74" ht="15" customHeight="1">
      <c r="A74" s="1" t="inlineStr">
        <is>
          <t>Equipo</t>
        </is>
      </c>
      <c r="B74" s="1" t="inlineStr">
        <is>
          <t>PJ</t>
        </is>
      </c>
      <c r="C74" s="1" t="inlineStr">
        <is>
          <t>PG</t>
        </is>
      </c>
      <c r="D74" s="1" t="inlineStr">
        <is>
          <t>PE</t>
        </is>
      </c>
      <c r="E74" s="1" t="inlineStr">
        <is>
          <t>PP</t>
        </is>
      </c>
      <c r="F74" s="1" t="inlineStr">
        <is>
          <t>GF</t>
        </is>
      </c>
      <c r="G74" s="1" t="inlineStr">
        <is>
          <t>GC</t>
        </is>
      </c>
      <c r="H74" s="1" t="inlineStr">
        <is>
          <t>DG</t>
        </is>
      </c>
      <c r="I74" s="1" t="inlineStr">
        <is>
          <t>Pts</t>
        </is>
      </c>
      <c r="J74" s="1" t="inlineStr">
        <is>
          <t>Pos</t>
        </is>
      </c>
      <c r="K74" s="1" t="inlineStr">
        <is>
          <t>Score</t>
        </is>
      </c>
    </row>
    <row r="75" ht="15" customHeight="1">
      <c r="A75" s="7" t="inlineStr">
        <is>
          <t>Portugal</t>
        </is>
      </c>
      <c r="B75" s="16">
        <f>SUMPRODUCT((Modelo!$C$3:$C$106="Grupos")*((Modelo!$D$3:$D$106=$A75)+(Modelo!$E$3:$E$106=$A75))*Modelo!$H$3:$H$106)</f>
        <v/>
      </c>
      <c r="C75" s="16">
        <f>SUMPRODUCT((Modelo!$C$3:$C$106="Grupos")*(Modelo!$D$3:$D$106=$A75)*Modelo!$H$3:$H$106*(Modelo!$I$3:$I$106&gt;Modelo!$J$3:$J$106))+SUMPRODUCT((Modelo!$C$3:$C$106="Grupos")*(Modelo!$E$3:$E$106=$A75)*Modelo!$H$3:$H$106*(Modelo!$J$3:$J$106&gt;Modelo!$I$3:$I$106))</f>
        <v/>
      </c>
      <c r="D75" s="16">
        <f>SUMPRODUCT((Modelo!$C$3:$C$106="Grupos")*((Modelo!$D$3:$D$106=$A75)+(Modelo!$E$3:$E$106=$A75))*Modelo!$H$3:$H$106*(Modelo!$I$3:$I$106=Modelo!$J$3:$J$106))</f>
        <v/>
      </c>
      <c r="E75" s="16">
        <f>$B75-$C75-$D75</f>
        <v/>
      </c>
      <c r="F75" s="16">
        <f>SUMPRODUCT((Modelo!$C$3:$C$106="Grupos")*(Modelo!$D$3:$D$106=$A75)*Modelo!$H$3:$H$106*Modelo!$I$3:$I$106)+SUMPRODUCT((Modelo!$C$3:$C$106="Grupos")*(Modelo!$E$3:$E$106=$A75)*Modelo!$H$3:$H$106*Modelo!$J$3:$J$106)</f>
        <v/>
      </c>
      <c r="G75" s="16">
        <f>SUMPRODUCT((Modelo!$C$3:$C$106="Grupos")*(Modelo!$D$3:$D$106=$A75)*Modelo!$H$3:$H$106*Modelo!$J$3:$J$106)+SUMPRODUCT((Modelo!$C$3:$C$106="Grupos")*(Modelo!$E$3:$E$106=$A75)*Modelo!$H$3:$H$106*Modelo!$I$3:$I$106)</f>
        <v/>
      </c>
      <c r="H75" s="16">
        <f>$F75-$G75</f>
        <v/>
      </c>
      <c r="I75" s="16">
        <f>3*$C75+$D75</f>
        <v/>
      </c>
      <c r="J75" s="16">
        <f>1+SUMPRODUCT(($K$75:$K$78&gt;$K75)*1)</f>
        <v/>
      </c>
      <c r="K75" s="16">
        <f>$I75*1000000+($H75+200)*1000+$F75</f>
        <v/>
      </c>
    </row>
    <row r="76" ht="15" customHeight="1">
      <c r="A76" s="7" t="inlineStr">
        <is>
          <t>RD Congo</t>
        </is>
      </c>
      <c r="B76" s="16">
        <f>SUMPRODUCT((Modelo!$C$3:$C$106="Grupos")*((Modelo!$D$3:$D$106=$A76)+(Modelo!$E$3:$E$106=$A76))*Modelo!$H$3:$H$106)</f>
        <v/>
      </c>
      <c r="C76" s="16">
        <f>SUMPRODUCT((Modelo!$C$3:$C$106="Grupos")*(Modelo!$D$3:$D$106=$A76)*Modelo!$H$3:$H$106*(Modelo!$I$3:$I$106&gt;Modelo!$J$3:$J$106))+SUMPRODUCT((Modelo!$C$3:$C$106="Grupos")*(Modelo!$E$3:$E$106=$A76)*Modelo!$H$3:$H$106*(Modelo!$J$3:$J$106&gt;Modelo!$I$3:$I$106))</f>
        <v/>
      </c>
      <c r="D76" s="16">
        <f>SUMPRODUCT((Modelo!$C$3:$C$106="Grupos")*((Modelo!$D$3:$D$106=$A76)+(Modelo!$E$3:$E$106=$A76))*Modelo!$H$3:$H$106*(Modelo!$I$3:$I$106=Modelo!$J$3:$J$106))</f>
        <v/>
      </c>
      <c r="E76" s="16">
        <f>$B76-$C76-$D76</f>
        <v/>
      </c>
      <c r="F76" s="16">
        <f>SUMPRODUCT((Modelo!$C$3:$C$106="Grupos")*(Modelo!$D$3:$D$106=$A76)*Modelo!$H$3:$H$106*Modelo!$I$3:$I$106)+SUMPRODUCT((Modelo!$C$3:$C$106="Grupos")*(Modelo!$E$3:$E$106=$A76)*Modelo!$H$3:$H$106*Modelo!$J$3:$J$106)</f>
        <v/>
      </c>
      <c r="G76" s="16">
        <f>SUMPRODUCT((Modelo!$C$3:$C$106="Grupos")*(Modelo!$D$3:$D$106=$A76)*Modelo!$H$3:$H$106*Modelo!$J$3:$J$106)+SUMPRODUCT((Modelo!$C$3:$C$106="Grupos")*(Modelo!$E$3:$E$106=$A76)*Modelo!$H$3:$H$106*Modelo!$I$3:$I$106)</f>
        <v/>
      </c>
      <c r="H76" s="16">
        <f>$F76-$G76</f>
        <v/>
      </c>
      <c r="I76" s="16">
        <f>3*$C76+$D76</f>
        <v/>
      </c>
      <c r="J76" s="16">
        <f>1+SUMPRODUCT(($K$75:$K$78&gt;$K76)*1)</f>
        <v/>
      </c>
      <c r="K76" s="16">
        <f>$I76*1000000+($H76+200)*1000+$F76</f>
        <v/>
      </c>
    </row>
    <row r="77" ht="15" customHeight="1">
      <c r="A77" s="7" t="inlineStr">
        <is>
          <t>Uzbekistán</t>
        </is>
      </c>
      <c r="B77" s="16">
        <f>SUMPRODUCT((Modelo!$C$3:$C$106="Grupos")*((Modelo!$D$3:$D$106=$A77)+(Modelo!$E$3:$E$106=$A77))*Modelo!$H$3:$H$106)</f>
        <v/>
      </c>
      <c r="C77" s="16">
        <f>SUMPRODUCT((Modelo!$C$3:$C$106="Grupos")*(Modelo!$D$3:$D$106=$A77)*Modelo!$H$3:$H$106*(Modelo!$I$3:$I$106&gt;Modelo!$J$3:$J$106))+SUMPRODUCT((Modelo!$C$3:$C$106="Grupos")*(Modelo!$E$3:$E$106=$A77)*Modelo!$H$3:$H$106*(Modelo!$J$3:$J$106&gt;Modelo!$I$3:$I$106))</f>
        <v/>
      </c>
      <c r="D77" s="16">
        <f>SUMPRODUCT((Modelo!$C$3:$C$106="Grupos")*((Modelo!$D$3:$D$106=$A77)+(Modelo!$E$3:$E$106=$A77))*Modelo!$H$3:$H$106*(Modelo!$I$3:$I$106=Modelo!$J$3:$J$106))</f>
        <v/>
      </c>
      <c r="E77" s="16">
        <f>$B77-$C77-$D77</f>
        <v/>
      </c>
      <c r="F77" s="16">
        <f>SUMPRODUCT((Modelo!$C$3:$C$106="Grupos")*(Modelo!$D$3:$D$106=$A77)*Modelo!$H$3:$H$106*Modelo!$I$3:$I$106)+SUMPRODUCT((Modelo!$C$3:$C$106="Grupos")*(Modelo!$E$3:$E$106=$A77)*Modelo!$H$3:$H$106*Modelo!$J$3:$J$106)</f>
        <v/>
      </c>
      <c r="G77" s="16">
        <f>SUMPRODUCT((Modelo!$C$3:$C$106="Grupos")*(Modelo!$D$3:$D$106=$A77)*Modelo!$H$3:$H$106*Modelo!$J$3:$J$106)+SUMPRODUCT((Modelo!$C$3:$C$106="Grupos")*(Modelo!$E$3:$E$106=$A77)*Modelo!$H$3:$H$106*Modelo!$I$3:$I$106)</f>
        <v/>
      </c>
      <c r="H77" s="16">
        <f>$F77-$G77</f>
        <v/>
      </c>
      <c r="I77" s="16">
        <f>3*$C77+$D77</f>
        <v/>
      </c>
      <c r="J77" s="16">
        <f>1+SUMPRODUCT(($K$75:$K$78&gt;$K77)*1)</f>
        <v/>
      </c>
      <c r="K77" s="16">
        <f>$I77*1000000+($H77+200)*1000+$F77</f>
        <v/>
      </c>
    </row>
    <row r="78" ht="15" customHeight="1">
      <c r="A78" s="7" t="inlineStr">
        <is>
          <t>Colombia</t>
        </is>
      </c>
      <c r="B78" s="16">
        <f>SUMPRODUCT((Modelo!$C$3:$C$106="Grupos")*((Modelo!$D$3:$D$106=$A78)+(Modelo!$E$3:$E$106=$A78))*Modelo!$H$3:$H$106)</f>
        <v/>
      </c>
      <c r="C78" s="16">
        <f>SUMPRODUCT((Modelo!$C$3:$C$106="Grupos")*(Modelo!$D$3:$D$106=$A78)*Modelo!$H$3:$H$106*(Modelo!$I$3:$I$106&gt;Modelo!$J$3:$J$106))+SUMPRODUCT((Modelo!$C$3:$C$106="Grupos")*(Modelo!$E$3:$E$106=$A78)*Modelo!$H$3:$H$106*(Modelo!$J$3:$J$106&gt;Modelo!$I$3:$I$106))</f>
        <v/>
      </c>
      <c r="D78" s="16">
        <f>SUMPRODUCT((Modelo!$C$3:$C$106="Grupos")*((Modelo!$D$3:$D$106=$A78)+(Modelo!$E$3:$E$106=$A78))*Modelo!$H$3:$H$106*(Modelo!$I$3:$I$106=Modelo!$J$3:$J$106))</f>
        <v/>
      </c>
      <c r="E78" s="16">
        <f>$B78-$C78-$D78</f>
        <v/>
      </c>
      <c r="F78" s="16">
        <f>SUMPRODUCT((Modelo!$C$3:$C$106="Grupos")*(Modelo!$D$3:$D$106=$A78)*Modelo!$H$3:$H$106*Modelo!$I$3:$I$106)+SUMPRODUCT((Modelo!$C$3:$C$106="Grupos")*(Modelo!$E$3:$E$106=$A78)*Modelo!$H$3:$H$106*Modelo!$J$3:$J$106)</f>
        <v/>
      </c>
      <c r="G78" s="16">
        <f>SUMPRODUCT((Modelo!$C$3:$C$106="Grupos")*(Modelo!$D$3:$D$106=$A78)*Modelo!$H$3:$H$106*Modelo!$J$3:$J$106)+SUMPRODUCT((Modelo!$C$3:$C$106="Grupos")*(Modelo!$E$3:$E$106=$A78)*Modelo!$H$3:$H$106*Modelo!$I$3:$I$106)</f>
        <v/>
      </c>
      <c r="H78" s="16">
        <f>$F78-$G78</f>
        <v/>
      </c>
      <c r="I78" s="16">
        <f>3*$C78+$D78</f>
        <v/>
      </c>
      <c r="J78" s="16">
        <f>1+SUMPRODUCT(($K$75:$K$78&gt;$K78)*1)</f>
        <v/>
      </c>
      <c r="K78" s="16">
        <f>$I78*1000000+($H78+200)*1000+$F78</f>
        <v/>
      </c>
    </row>
    <row r="80" ht="15" customHeight="1">
      <c r="A80" s="5" t="inlineStr">
        <is>
          <t>GRUPO L</t>
        </is>
      </c>
    </row>
    <row r="81" ht="15" customHeight="1">
      <c r="A81" s="1" t="inlineStr">
        <is>
          <t>Equipo</t>
        </is>
      </c>
      <c r="B81" s="1" t="inlineStr">
        <is>
          <t>PJ</t>
        </is>
      </c>
      <c r="C81" s="1" t="inlineStr">
        <is>
          <t>PG</t>
        </is>
      </c>
      <c r="D81" s="1" t="inlineStr">
        <is>
          <t>PE</t>
        </is>
      </c>
      <c r="E81" s="1" t="inlineStr">
        <is>
          <t>PP</t>
        </is>
      </c>
      <c r="F81" s="1" t="inlineStr">
        <is>
          <t>GF</t>
        </is>
      </c>
      <c r="G81" s="1" t="inlineStr">
        <is>
          <t>GC</t>
        </is>
      </c>
      <c r="H81" s="1" t="inlineStr">
        <is>
          <t>DG</t>
        </is>
      </c>
      <c r="I81" s="1" t="inlineStr">
        <is>
          <t>Pts</t>
        </is>
      </c>
      <c r="J81" s="1" t="inlineStr">
        <is>
          <t>Pos</t>
        </is>
      </c>
      <c r="K81" s="1" t="inlineStr">
        <is>
          <t>Score</t>
        </is>
      </c>
    </row>
    <row r="82" ht="15" customHeight="1">
      <c r="A82" s="7" t="inlineStr">
        <is>
          <t>Inglaterra</t>
        </is>
      </c>
      <c r="B82" s="16">
        <f>SUMPRODUCT((Modelo!$C$3:$C$106="Grupos")*((Modelo!$D$3:$D$106=$A82)+(Modelo!$E$3:$E$106=$A82))*Modelo!$H$3:$H$106)</f>
        <v/>
      </c>
      <c r="C82" s="16">
        <f>SUMPRODUCT((Modelo!$C$3:$C$106="Grupos")*(Modelo!$D$3:$D$106=$A82)*Modelo!$H$3:$H$106*(Modelo!$I$3:$I$106&gt;Modelo!$J$3:$J$106))+SUMPRODUCT((Modelo!$C$3:$C$106="Grupos")*(Modelo!$E$3:$E$106=$A82)*Modelo!$H$3:$H$106*(Modelo!$J$3:$J$106&gt;Modelo!$I$3:$I$106))</f>
        <v/>
      </c>
      <c r="D82" s="16">
        <f>SUMPRODUCT((Modelo!$C$3:$C$106="Grupos")*((Modelo!$D$3:$D$106=$A82)+(Modelo!$E$3:$E$106=$A82))*Modelo!$H$3:$H$106*(Modelo!$I$3:$I$106=Modelo!$J$3:$J$106))</f>
        <v/>
      </c>
      <c r="E82" s="16">
        <f>$B82-$C82-$D82</f>
        <v/>
      </c>
      <c r="F82" s="16">
        <f>SUMPRODUCT((Modelo!$C$3:$C$106="Grupos")*(Modelo!$D$3:$D$106=$A82)*Modelo!$H$3:$H$106*Modelo!$I$3:$I$106)+SUMPRODUCT((Modelo!$C$3:$C$106="Grupos")*(Modelo!$E$3:$E$106=$A82)*Modelo!$H$3:$H$106*Modelo!$J$3:$J$106)</f>
        <v/>
      </c>
      <c r="G82" s="16">
        <f>SUMPRODUCT((Modelo!$C$3:$C$106="Grupos")*(Modelo!$D$3:$D$106=$A82)*Modelo!$H$3:$H$106*Modelo!$J$3:$J$106)+SUMPRODUCT((Modelo!$C$3:$C$106="Grupos")*(Modelo!$E$3:$E$106=$A82)*Modelo!$H$3:$H$106*Modelo!$I$3:$I$106)</f>
        <v/>
      </c>
      <c r="H82" s="16">
        <f>$F82-$G82</f>
        <v/>
      </c>
      <c r="I82" s="16">
        <f>3*$C82+$D82</f>
        <v/>
      </c>
      <c r="J82" s="16">
        <f>1+SUMPRODUCT(($K$82:$K$85&gt;$K82)*1)</f>
        <v/>
      </c>
      <c r="K82" s="16">
        <f>$I82*1000000+($H82+200)*1000+$F82</f>
        <v/>
      </c>
    </row>
    <row r="83" ht="15" customHeight="1">
      <c r="A83" s="7" t="inlineStr">
        <is>
          <t>Croacia</t>
        </is>
      </c>
      <c r="B83" s="16">
        <f>SUMPRODUCT((Modelo!$C$3:$C$106="Grupos")*((Modelo!$D$3:$D$106=$A83)+(Modelo!$E$3:$E$106=$A83))*Modelo!$H$3:$H$106)</f>
        <v/>
      </c>
      <c r="C83" s="16">
        <f>SUMPRODUCT((Modelo!$C$3:$C$106="Grupos")*(Modelo!$D$3:$D$106=$A83)*Modelo!$H$3:$H$106*(Modelo!$I$3:$I$106&gt;Modelo!$J$3:$J$106))+SUMPRODUCT((Modelo!$C$3:$C$106="Grupos")*(Modelo!$E$3:$E$106=$A83)*Modelo!$H$3:$H$106*(Modelo!$J$3:$J$106&gt;Modelo!$I$3:$I$106))</f>
        <v/>
      </c>
      <c r="D83" s="16">
        <f>SUMPRODUCT((Modelo!$C$3:$C$106="Grupos")*((Modelo!$D$3:$D$106=$A83)+(Modelo!$E$3:$E$106=$A83))*Modelo!$H$3:$H$106*(Modelo!$I$3:$I$106=Modelo!$J$3:$J$106))</f>
        <v/>
      </c>
      <c r="E83" s="16">
        <f>$B83-$C83-$D83</f>
        <v/>
      </c>
      <c r="F83" s="16">
        <f>SUMPRODUCT((Modelo!$C$3:$C$106="Grupos")*(Modelo!$D$3:$D$106=$A83)*Modelo!$H$3:$H$106*Modelo!$I$3:$I$106)+SUMPRODUCT((Modelo!$C$3:$C$106="Grupos")*(Modelo!$E$3:$E$106=$A83)*Modelo!$H$3:$H$106*Modelo!$J$3:$J$106)</f>
        <v/>
      </c>
      <c r="G83" s="16">
        <f>SUMPRODUCT((Modelo!$C$3:$C$106="Grupos")*(Modelo!$D$3:$D$106=$A83)*Modelo!$H$3:$H$106*Modelo!$J$3:$J$106)+SUMPRODUCT((Modelo!$C$3:$C$106="Grupos")*(Modelo!$E$3:$E$106=$A83)*Modelo!$H$3:$H$106*Modelo!$I$3:$I$106)</f>
        <v/>
      </c>
      <c r="H83" s="16">
        <f>$F83-$G83</f>
        <v/>
      </c>
      <c r="I83" s="16">
        <f>3*$C83+$D83</f>
        <v/>
      </c>
      <c r="J83" s="16">
        <f>1+SUMPRODUCT(($K$82:$K$85&gt;$K83)*1)</f>
        <v/>
      </c>
      <c r="K83" s="16">
        <f>$I83*1000000+($H83+200)*1000+$F83</f>
        <v/>
      </c>
    </row>
    <row r="84" ht="15" customHeight="1">
      <c r="A84" s="7" t="inlineStr">
        <is>
          <t>Ghana</t>
        </is>
      </c>
      <c r="B84" s="16">
        <f>SUMPRODUCT((Modelo!$C$3:$C$106="Grupos")*((Modelo!$D$3:$D$106=$A84)+(Modelo!$E$3:$E$106=$A84))*Modelo!$H$3:$H$106)</f>
        <v/>
      </c>
      <c r="C84" s="16">
        <f>SUMPRODUCT((Modelo!$C$3:$C$106="Grupos")*(Modelo!$D$3:$D$106=$A84)*Modelo!$H$3:$H$106*(Modelo!$I$3:$I$106&gt;Modelo!$J$3:$J$106))+SUMPRODUCT((Modelo!$C$3:$C$106="Grupos")*(Modelo!$E$3:$E$106=$A84)*Modelo!$H$3:$H$106*(Modelo!$J$3:$J$106&gt;Modelo!$I$3:$I$106))</f>
        <v/>
      </c>
      <c r="D84" s="16">
        <f>SUMPRODUCT((Modelo!$C$3:$C$106="Grupos")*((Modelo!$D$3:$D$106=$A84)+(Modelo!$E$3:$E$106=$A84))*Modelo!$H$3:$H$106*(Modelo!$I$3:$I$106=Modelo!$J$3:$J$106))</f>
        <v/>
      </c>
      <c r="E84" s="16">
        <f>$B84-$C84-$D84</f>
        <v/>
      </c>
      <c r="F84" s="16">
        <f>SUMPRODUCT((Modelo!$C$3:$C$106="Grupos")*(Modelo!$D$3:$D$106=$A84)*Modelo!$H$3:$H$106*Modelo!$I$3:$I$106)+SUMPRODUCT((Modelo!$C$3:$C$106="Grupos")*(Modelo!$E$3:$E$106=$A84)*Modelo!$H$3:$H$106*Modelo!$J$3:$J$106)</f>
        <v/>
      </c>
      <c r="G84" s="16">
        <f>SUMPRODUCT((Modelo!$C$3:$C$106="Grupos")*(Modelo!$D$3:$D$106=$A84)*Modelo!$H$3:$H$106*Modelo!$J$3:$J$106)+SUMPRODUCT((Modelo!$C$3:$C$106="Grupos")*(Modelo!$E$3:$E$106=$A84)*Modelo!$H$3:$H$106*Modelo!$I$3:$I$106)</f>
        <v/>
      </c>
      <c r="H84" s="16">
        <f>$F84-$G84</f>
        <v/>
      </c>
      <c r="I84" s="16">
        <f>3*$C84+$D84</f>
        <v/>
      </c>
      <c r="J84" s="16">
        <f>1+SUMPRODUCT(($K$82:$K$85&gt;$K84)*1)</f>
        <v/>
      </c>
      <c r="K84" s="16">
        <f>$I84*1000000+($H84+200)*1000+$F84</f>
        <v/>
      </c>
    </row>
    <row r="85" ht="15" customHeight="1">
      <c r="A85" s="7" t="inlineStr">
        <is>
          <t>Panamá</t>
        </is>
      </c>
      <c r="B85" s="16">
        <f>SUMPRODUCT((Modelo!$C$3:$C$106="Grupos")*((Modelo!$D$3:$D$106=$A85)+(Modelo!$E$3:$E$106=$A85))*Modelo!$H$3:$H$106)</f>
        <v/>
      </c>
      <c r="C85" s="16">
        <f>SUMPRODUCT((Modelo!$C$3:$C$106="Grupos")*(Modelo!$D$3:$D$106=$A85)*Modelo!$H$3:$H$106*(Modelo!$I$3:$I$106&gt;Modelo!$J$3:$J$106))+SUMPRODUCT((Modelo!$C$3:$C$106="Grupos")*(Modelo!$E$3:$E$106=$A85)*Modelo!$H$3:$H$106*(Modelo!$J$3:$J$106&gt;Modelo!$I$3:$I$106))</f>
        <v/>
      </c>
      <c r="D85" s="16">
        <f>SUMPRODUCT((Modelo!$C$3:$C$106="Grupos")*((Modelo!$D$3:$D$106=$A85)+(Modelo!$E$3:$E$106=$A85))*Modelo!$H$3:$H$106*(Modelo!$I$3:$I$106=Modelo!$J$3:$J$106))</f>
        <v/>
      </c>
      <c r="E85" s="16">
        <f>$B85-$C85-$D85</f>
        <v/>
      </c>
      <c r="F85" s="16">
        <f>SUMPRODUCT((Modelo!$C$3:$C$106="Grupos")*(Modelo!$D$3:$D$106=$A85)*Modelo!$H$3:$H$106*Modelo!$I$3:$I$106)+SUMPRODUCT((Modelo!$C$3:$C$106="Grupos")*(Modelo!$E$3:$E$106=$A85)*Modelo!$H$3:$H$106*Modelo!$J$3:$J$106)</f>
        <v/>
      </c>
      <c r="G85" s="16">
        <f>SUMPRODUCT((Modelo!$C$3:$C$106="Grupos")*(Modelo!$D$3:$D$106=$A85)*Modelo!$H$3:$H$106*Modelo!$J$3:$J$106)+SUMPRODUCT((Modelo!$C$3:$C$106="Grupos")*(Modelo!$E$3:$E$106=$A85)*Modelo!$H$3:$H$106*Modelo!$I$3:$I$106)</f>
        <v/>
      </c>
      <c r="H85" s="16">
        <f>$F85-$G85</f>
        <v/>
      </c>
      <c r="I85" s="16">
        <f>3*$C85+$D85</f>
        <v/>
      </c>
      <c r="J85" s="16">
        <f>1+SUMPRODUCT(($K$82:$K$85&gt;$K85)*1)</f>
        <v/>
      </c>
      <c r="K85" s="16">
        <f>$I85*1000000+($H85+200)*1000+$F85</f>
        <v/>
      </c>
    </row>
    <row r="87" ht="15" customHeight="1">
      <c r="A87" s="5" t="inlineStr">
        <is>
          <t>MEJORES TERCEROS (clasifican los 8 primeros) — Pts → DG → GF; fair play y ranking FIFA no automatizados.</t>
        </is>
      </c>
    </row>
    <row r="88" ht="15" customHeight="1">
      <c r="A88" s="1" t="inlineStr">
        <is>
          <t>Grupo</t>
        </is>
      </c>
      <c r="B88" s="1" t="inlineStr">
        <is>
          <t>Equipo</t>
        </is>
      </c>
      <c r="C88" s="1" t="inlineStr">
        <is>
          <t>Pts</t>
        </is>
      </c>
      <c r="D88" s="1" t="inlineStr">
        <is>
          <t>DG</t>
        </is>
      </c>
      <c r="E88" s="1" t="inlineStr">
        <is>
          <t>GF</t>
        </is>
      </c>
      <c r="F88" s="1" t="inlineStr">
        <is>
          <t>Score</t>
        </is>
      </c>
      <c r="G88" s="1" t="inlineStr">
        <is>
          <t>Rank</t>
        </is>
      </c>
      <c r="H88" s="1" t="inlineStr">
        <is>
          <t>Clasifica</t>
        </is>
      </c>
    </row>
    <row r="89" ht="15" customHeight="1">
      <c r="A89" s="7" t="inlineStr">
        <is>
          <t>A</t>
        </is>
      </c>
      <c r="B89" s="16">
        <f>IFERROR(INDEX($A$5:$A$8,MATCH(3,$J$5:$J$8,0)),"")</f>
        <v/>
      </c>
      <c r="C89" s="16">
        <f>IFERROR(INDEX($I$5:$I$8,MATCH(3,$J$5:$J$8,0)),"")</f>
        <v/>
      </c>
      <c r="D89" s="16">
        <f>IFERROR(INDEX($H$5:$H$8,MATCH(3,$J$5:$J$8,0)),"")</f>
        <v/>
      </c>
      <c r="E89" s="16">
        <f>IFERROR(INDEX($F$5:$F$8,MATCH(3,$J$5:$J$8,0)),"")</f>
        <v/>
      </c>
      <c r="F89" s="16">
        <f>IFERROR(INDEX($K$5:$K$8,MATCH(3,$J$5:$J$8,0)),"")</f>
        <v/>
      </c>
      <c r="G89" s="16">
        <f>IF($F89="","",1+SUMPRODUCT(($F$89:$F$100&gt;$F89)*1))</f>
        <v/>
      </c>
      <c r="H89" s="16">
        <f>IF($G89="","",IF($G89&lt;=8,"Sí","No"))</f>
        <v/>
      </c>
    </row>
    <row r="90" ht="15" customHeight="1">
      <c r="A90" s="7" t="inlineStr">
        <is>
          <t>B</t>
        </is>
      </c>
      <c r="B90" s="16">
        <f>IFERROR(INDEX($A$12:$A$15,MATCH(3,$J$12:$J$15,0)),"")</f>
        <v/>
      </c>
      <c r="C90" s="16">
        <f>IFERROR(INDEX($I$12:$I$15,MATCH(3,$J$12:$J$15,0)),"")</f>
        <v/>
      </c>
      <c r="D90" s="16">
        <f>IFERROR(INDEX($H$12:$H$15,MATCH(3,$J$12:$J$15,0)),"")</f>
        <v/>
      </c>
      <c r="E90" s="16">
        <f>IFERROR(INDEX($F$12:$F$15,MATCH(3,$J$12:$J$15,0)),"")</f>
        <v/>
      </c>
      <c r="F90" s="16">
        <f>IFERROR(INDEX($K$12:$K$15,MATCH(3,$J$12:$J$15,0)),"")</f>
        <v/>
      </c>
      <c r="G90" s="16">
        <f>IF($F90="","",1+SUMPRODUCT(($F$89:$F$100&gt;$F90)*1))</f>
        <v/>
      </c>
      <c r="H90" s="16">
        <f>IF($G90="","",IF($G90&lt;=8,"Sí","No"))</f>
        <v/>
      </c>
    </row>
    <row r="91" ht="15" customHeight="1">
      <c r="A91" s="7" t="inlineStr">
        <is>
          <t>C</t>
        </is>
      </c>
      <c r="B91" s="16">
        <f>IFERROR(INDEX($A$19:$A$22,MATCH(3,$J$19:$J$22,0)),"")</f>
        <v/>
      </c>
      <c r="C91" s="16">
        <f>IFERROR(INDEX($I$19:$I$22,MATCH(3,$J$19:$J$22,0)),"")</f>
        <v/>
      </c>
      <c r="D91" s="16">
        <f>IFERROR(INDEX($H$19:$H$22,MATCH(3,$J$19:$J$22,0)),"")</f>
        <v/>
      </c>
      <c r="E91" s="16">
        <f>IFERROR(INDEX($F$19:$F$22,MATCH(3,$J$19:$J$22,0)),"")</f>
        <v/>
      </c>
      <c r="F91" s="16">
        <f>IFERROR(INDEX($K$19:$K$22,MATCH(3,$J$19:$J$22,0)),"")</f>
        <v/>
      </c>
      <c r="G91" s="16">
        <f>IF($F91="","",1+SUMPRODUCT(($F$89:$F$100&gt;$F91)*1))</f>
        <v/>
      </c>
      <c r="H91" s="16">
        <f>IF($G91="","",IF($G91&lt;=8,"Sí","No"))</f>
        <v/>
      </c>
    </row>
    <row r="92" ht="15" customHeight="1">
      <c r="A92" s="7" t="inlineStr">
        <is>
          <t>D</t>
        </is>
      </c>
      <c r="B92" s="16">
        <f>IFERROR(INDEX($A$26:$A$29,MATCH(3,$J$26:$J$29,0)),"")</f>
        <v/>
      </c>
      <c r="C92" s="16">
        <f>IFERROR(INDEX($I$26:$I$29,MATCH(3,$J$26:$J$29,0)),"")</f>
        <v/>
      </c>
      <c r="D92" s="16">
        <f>IFERROR(INDEX($H$26:$H$29,MATCH(3,$J$26:$J$29,0)),"")</f>
        <v/>
      </c>
      <c r="E92" s="16">
        <f>IFERROR(INDEX($F$26:$F$29,MATCH(3,$J$26:$J$29,0)),"")</f>
        <v/>
      </c>
      <c r="F92" s="16">
        <f>IFERROR(INDEX($K$26:$K$29,MATCH(3,$J$26:$J$29,0)),"")</f>
        <v/>
      </c>
      <c r="G92" s="16">
        <f>IF($F92="","",1+SUMPRODUCT(($F$89:$F$100&gt;$F92)*1))</f>
        <v/>
      </c>
      <c r="H92" s="16">
        <f>IF($G92="","",IF($G92&lt;=8,"Sí","No"))</f>
        <v/>
      </c>
    </row>
    <row r="93" ht="15" customHeight="1">
      <c r="A93" s="7" t="inlineStr">
        <is>
          <t>E</t>
        </is>
      </c>
      <c r="B93" s="16">
        <f>IFERROR(INDEX($A$33:$A$36,MATCH(3,$J$33:$J$36,0)),"")</f>
        <v/>
      </c>
      <c r="C93" s="16">
        <f>IFERROR(INDEX($I$33:$I$36,MATCH(3,$J$33:$J$36,0)),"")</f>
        <v/>
      </c>
      <c r="D93" s="16">
        <f>IFERROR(INDEX($H$33:$H$36,MATCH(3,$J$33:$J$36,0)),"")</f>
        <v/>
      </c>
      <c r="E93" s="16">
        <f>IFERROR(INDEX($F$33:$F$36,MATCH(3,$J$33:$J$36,0)),"")</f>
        <v/>
      </c>
      <c r="F93" s="16">
        <f>IFERROR(INDEX($K$33:$K$36,MATCH(3,$J$33:$J$36,0)),"")</f>
        <v/>
      </c>
      <c r="G93" s="16">
        <f>IF($F93="","",1+SUMPRODUCT(($F$89:$F$100&gt;$F93)*1))</f>
        <v/>
      </c>
      <c r="H93" s="16">
        <f>IF($G93="","",IF($G93&lt;=8,"Sí","No"))</f>
        <v/>
      </c>
    </row>
    <row r="94" ht="15" customHeight="1">
      <c r="A94" s="7" t="inlineStr">
        <is>
          <t>F</t>
        </is>
      </c>
      <c r="B94" s="16">
        <f>IFERROR(INDEX($A$40:$A$43,MATCH(3,$J$40:$J$43,0)),"")</f>
        <v/>
      </c>
      <c r="C94" s="16">
        <f>IFERROR(INDEX($I$40:$I$43,MATCH(3,$J$40:$J$43,0)),"")</f>
        <v/>
      </c>
      <c r="D94" s="16">
        <f>IFERROR(INDEX($H$40:$H$43,MATCH(3,$J$40:$J$43,0)),"")</f>
        <v/>
      </c>
      <c r="E94" s="16">
        <f>IFERROR(INDEX($F$40:$F$43,MATCH(3,$J$40:$J$43,0)),"")</f>
        <v/>
      </c>
      <c r="F94" s="16">
        <f>IFERROR(INDEX($K$40:$K$43,MATCH(3,$J$40:$J$43,0)),"")</f>
        <v/>
      </c>
      <c r="G94" s="16">
        <f>IF($F94="","",1+SUMPRODUCT(($F$89:$F$100&gt;$F94)*1))</f>
        <v/>
      </c>
      <c r="H94" s="16">
        <f>IF($G94="","",IF($G94&lt;=8,"Sí","No"))</f>
        <v/>
      </c>
    </row>
    <row r="95" ht="15" customHeight="1">
      <c r="A95" s="7" t="inlineStr">
        <is>
          <t>G</t>
        </is>
      </c>
      <c r="B95" s="16">
        <f>IFERROR(INDEX($A$47:$A$50,MATCH(3,$J$47:$J$50,0)),"")</f>
        <v/>
      </c>
      <c r="C95" s="16">
        <f>IFERROR(INDEX($I$47:$I$50,MATCH(3,$J$47:$J$50,0)),"")</f>
        <v/>
      </c>
      <c r="D95" s="16">
        <f>IFERROR(INDEX($H$47:$H$50,MATCH(3,$J$47:$J$50,0)),"")</f>
        <v/>
      </c>
      <c r="E95" s="16">
        <f>IFERROR(INDEX($F$47:$F$50,MATCH(3,$J$47:$J$50,0)),"")</f>
        <v/>
      </c>
      <c r="F95" s="16">
        <f>IFERROR(INDEX($K$47:$K$50,MATCH(3,$J$47:$J$50,0)),"")</f>
        <v/>
      </c>
      <c r="G95" s="16">
        <f>IF($F95="","",1+SUMPRODUCT(($F$89:$F$100&gt;$F95)*1))</f>
        <v/>
      </c>
      <c r="H95" s="16">
        <f>IF($G95="","",IF($G95&lt;=8,"Sí","No"))</f>
        <v/>
      </c>
    </row>
    <row r="96" ht="15" customHeight="1">
      <c r="A96" s="7" t="inlineStr">
        <is>
          <t>H</t>
        </is>
      </c>
      <c r="B96" s="16">
        <f>IFERROR(INDEX($A$54:$A$57,MATCH(3,$J$54:$J$57,0)),"")</f>
        <v/>
      </c>
      <c r="C96" s="16">
        <f>IFERROR(INDEX($I$54:$I$57,MATCH(3,$J$54:$J$57,0)),"")</f>
        <v/>
      </c>
      <c r="D96" s="16">
        <f>IFERROR(INDEX($H$54:$H$57,MATCH(3,$J$54:$J$57,0)),"")</f>
        <v/>
      </c>
      <c r="E96" s="16">
        <f>IFERROR(INDEX($F$54:$F$57,MATCH(3,$J$54:$J$57,0)),"")</f>
        <v/>
      </c>
      <c r="F96" s="16">
        <f>IFERROR(INDEX($K$54:$K$57,MATCH(3,$J$54:$J$57,0)),"")</f>
        <v/>
      </c>
      <c r="G96" s="16">
        <f>IF($F96="","",1+SUMPRODUCT(($F$89:$F$100&gt;$F96)*1))</f>
        <v/>
      </c>
      <c r="H96" s="16">
        <f>IF($G96="","",IF($G96&lt;=8,"Sí","No"))</f>
        <v/>
      </c>
    </row>
    <row r="97" ht="15" customHeight="1">
      <c r="A97" s="7" t="inlineStr">
        <is>
          <t>I</t>
        </is>
      </c>
      <c r="B97" s="16">
        <f>IFERROR(INDEX($A$61:$A$64,MATCH(3,$J$61:$J$64,0)),"")</f>
        <v/>
      </c>
      <c r="C97" s="16">
        <f>IFERROR(INDEX($I$61:$I$64,MATCH(3,$J$61:$J$64,0)),"")</f>
        <v/>
      </c>
      <c r="D97" s="16">
        <f>IFERROR(INDEX($H$61:$H$64,MATCH(3,$J$61:$J$64,0)),"")</f>
        <v/>
      </c>
      <c r="E97" s="16">
        <f>IFERROR(INDEX($F$61:$F$64,MATCH(3,$J$61:$J$64,0)),"")</f>
        <v/>
      </c>
      <c r="F97" s="16">
        <f>IFERROR(INDEX($K$61:$K$64,MATCH(3,$J$61:$J$64,0)),"")</f>
        <v/>
      </c>
      <c r="G97" s="16">
        <f>IF($F97="","",1+SUMPRODUCT(($F$89:$F$100&gt;$F97)*1))</f>
        <v/>
      </c>
      <c r="H97" s="16">
        <f>IF($G97="","",IF($G97&lt;=8,"Sí","No"))</f>
        <v/>
      </c>
    </row>
    <row r="98" ht="15" customHeight="1">
      <c r="A98" s="7" t="inlineStr">
        <is>
          <t>J</t>
        </is>
      </c>
      <c r="B98" s="16">
        <f>IFERROR(INDEX($A$68:$A$71,MATCH(3,$J$68:$J$71,0)),"")</f>
        <v/>
      </c>
      <c r="C98" s="16">
        <f>IFERROR(INDEX($I$68:$I$71,MATCH(3,$J$68:$J$71,0)),"")</f>
        <v/>
      </c>
      <c r="D98" s="16">
        <f>IFERROR(INDEX($H$68:$H$71,MATCH(3,$J$68:$J$71,0)),"")</f>
        <v/>
      </c>
      <c r="E98" s="16">
        <f>IFERROR(INDEX($F$68:$F$71,MATCH(3,$J$68:$J$71,0)),"")</f>
        <v/>
      </c>
      <c r="F98" s="16">
        <f>IFERROR(INDEX($K$68:$K$71,MATCH(3,$J$68:$J$71,0)),"")</f>
        <v/>
      </c>
      <c r="G98" s="16">
        <f>IF($F98="","",1+SUMPRODUCT(($F$89:$F$100&gt;$F98)*1))</f>
        <v/>
      </c>
      <c r="H98" s="16">
        <f>IF($G98="","",IF($G98&lt;=8,"Sí","No"))</f>
        <v/>
      </c>
    </row>
    <row r="99" ht="15" customHeight="1">
      <c r="A99" s="7" t="inlineStr">
        <is>
          <t>K</t>
        </is>
      </c>
      <c r="B99" s="16">
        <f>IFERROR(INDEX($A$75:$A$78,MATCH(3,$J$75:$J$78,0)),"")</f>
        <v/>
      </c>
      <c r="C99" s="16">
        <f>IFERROR(INDEX($I$75:$I$78,MATCH(3,$J$75:$J$78,0)),"")</f>
        <v/>
      </c>
      <c r="D99" s="16">
        <f>IFERROR(INDEX($H$75:$H$78,MATCH(3,$J$75:$J$78,0)),"")</f>
        <v/>
      </c>
      <c r="E99" s="16">
        <f>IFERROR(INDEX($F$75:$F$78,MATCH(3,$J$75:$J$78,0)),"")</f>
        <v/>
      </c>
      <c r="F99" s="16">
        <f>IFERROR(INDEX($K$75:$K$78,MATCH(3,$J$75:$J$78,0)),"")</f>
        <v/>
      </c>
      <c r="G99" s="16">
        <f>IF($F99="","",1+SUMPRODUCT(($F$89:$F$100&gt;$F99)*1))</f>
        <v/>
      </c>
      <c r="H99" s="16">
        <f>IF($G99="","",IF($G99&lt;=8,"Sí","No"))</f>
        <v/>
      </c>
    </row>
    <row r="100" ht="15" customHeight="1">
      <c r="A100" s="7" t="inlineStr">
        <is>
          <t>L</t>
        </is>
      </c>
      <c r="B100" s="16">
        <f>IFERROR(INDEX($A$82:$A$85,MATCH(3,$J$82:$J$85,0)),"")</f>
        <v/>
      </c>
      <c r="C100" s="16">
        <f>IFERROR(INDEX($I$82:$I$85,MATCH(3,$J$82:$J$85,0)),"")</f>
        <v/>
      </c>
      <c r="D100" s="16">
        <f>IFERROR(INDEX($H$82:$H$85,MATCH(3,$J$82:$J$85,0)),"")</f>
        <v/>
      </c>
      <c r="E100" s="16">
        <f>IFERROR(INDEX($F$82:$F$85,MATCH(3,$J$82:$J$85,0)),"")</f>
        <v/>
      </c>
      <c r="F100" s="16">
        <f>IFERROR(INDEX($K$82:$K$85,MATCH(3,$J$82:$J$85,0)),"")</f>
        <v/>
      </c>
      <c r="G100" s="16">
        <f>IF($F100="","",1+SUMPRODUCT(($F$89:$F$100&gt;$F100)*1))</f>
        <v/>
      </c>
      <c r="H100" s="16">
        <f>IF($G100="","",IF($G100&lt;=8,"Sí","No"))</f>
        <v/>
      </c>
    </row>
    <row r="102" ht="15" customHeight="1">
      <c r="A102" s="5" t="inlineStr">
        <is>
          <t>BRACKET ELIMINATORIO — Estado: REAL (resultado cargado) / PROYECCIÓN (modelo: avanza el mayor Elo vigente; en terceros, el mejor rankeado elegible — la asignación oficial FIFA puede diferir y puede duplicar equipos hasta que cierren los grupos).</t>
        </is>
      </c>
    </row>
    <row r="103" ht="15" customHeight="1">
      <c r="A103" s="1" t="inlineStr">
        <is>
          <t>Num</t>
        </is>
      </c>
      <c r="B103" s="1" t="inlineStr">
        <is>
          <t>ID</t>
        </is>
      </c>
      <c r="C103" s="1" t="inlineStr">
        <is>
          <t>Ronda</t>
        </is>
      </c>
      <c r="D103" s="1" t="inlineStr">
        <is>
          <t>Cod_A</t>
        </is>
      </c>
      <c r="E103" s="1" t="inlineStr">
        <is>
          <t>Cod_B</t>
        </is>
      </c>
      <c r="F103" s="1" t="inlineStr">
        <is>
          <t>Equipo_A</t>
        </is>
      </c>
      <c r="G103" s="1" t="inlineStr">
        <is>
          <t>Equipo_B</t>
        </is>
      </c>
      <c r="H103" s="1" t="inlineStr">
        <is>
          <t>Ganador</t>
        </is>
      </c>
      <c r="I103" s="1" t="inlineStr">
        <is>
          <t>Perdedor</t>
        </is>
      </c>
      <c r="J103" s="1" t="inlineStr">
        <is>
          <t>Estado</t>
        </is>
      </c>
    </row>
    <row r="104" ht="15" customHeight="1">
      <c r="A104" s="16" t="n">
        <v>73</v>
      </c>
      <c r="B104" s="16" t="n">
        <v>73</v>
      </c>
      <c r="C104" s="16" t="inlineStr">
        <is>
          <t>R32</t>
        </is>
      </c>
      <c r="D104" s="16" t="inlineStr">
        <is>
          <t>2A</t>
        </is>
      </c>
      <c r="E104" s="16" t="inlineStr">
        <is>
          <t>2B</t>
        </is>
      </c>
      <c r="F104" s="16">
        <f>IFERROR(INDEX($A$5:$A$8,MATCH(2,$J$5:$J$8,0)),"")</f>
        <v/>
      </c>
      <c r="G104" s="16">
        <f>IFERROR(INDEX($A$12:$A$15,MATCH(2,$J$12:$J$15,0)),"")</f>
        <v/>
      </c>
      <c r="H104" s="16">
        <f>IF(OR($F104="",$G104=""),"",IF(ISNUMBER(Resultados!$B74),IF(Resultados!$B74&gt;Resultados!$C74,$F104,IF(Resultados!$C74&gt;Resultados!$B74,$G104,IF(Resultados!$E74&lt;&gt;"",Resultados!$E74,$F104))),IF(VLOOKUP($F104,Equipos!$A:$D,4,0)&gt;=VLOOKUP($G104,Equipos!$A:$D,4,0),$F104,$G104)))</f>
        <v/>
      </c>
      <c r="I104" s="16">
        <f>IF(OR($F104="",$G104=""),"",IF(ISNUMBER(Resultados!$B74),IF(Resultados!$B74&gt;Resultados!$C74,$G104,IF(Resultados!$C74&gt;Resultados!$B74,$F104,IF(Resultados!$E74&lt;&gt;"",IF(Resultados!$E74=$F104,$G104,$F104),$G104))),IF(VLOOKUP($F104,Equipos!$A:$D,4,0)&gt;=VLOOKUP($G104,Equipos!$A:$D,4,0),$G104,$F104)))</f>
        <v/>
      </c>
      <c r="J104" s="16">
        <f>IF(OR($F104="",$G104=""),"PENDIENTE",IF(ISNUMBER(Resultados!$B74),"REAL","PROYECCIÓN"))</f>
        <v/>
      </c>
    </row>
    <row r="105" ht="15" customHeight="1">
      <c r="A105" s="16" t="n">
        <v>74</v>
      </c>
      <c r="B105" s="16" t="n">
        <v>75</v>
      </c>
      <c r="C105" s="16" t="inlineStr">
        <is>
          <t>R32</t>
        </is>
      </c>
      <c r="D105" s="16" t="inlineStr">
        <is>
          <t>1E</t>
        </is>
      </c>
      <c r="E105" s="16" t="inlineStr">
        <is>
          <t>3A/B/C/D/F</t>
        </is>
      </c>
      <c r="F105" s="16">
        <f>IFERROR(INDEX($A$33:$A$36,MATCH(1,$J$33:$J$36,0)),"")</f>
        <v/>
      </c>
      <c r="G105" s="16">
        <f>IFERROR(INDEX($B$89:$B$100,MATCH($Q105,$G$89:$G$100,0)),"")</f>
        <v/>
      </c>
      <c r="H105" s="16">
        <f>IF(OR($F105="",$G105=""),"",IF(ISNUMBER(Resultados!$B76),IF(Resultados!$B76&gt;Resultados!$C76,$F105,IF(Resultados!$C76&gt;Resultados!$B76,$G105,IF(Resultados!$E76&lt;&gt;"",Resultados!$E76,$F105))),IF(VLOOKUP($F105,Equipos!$A:$D,4,0)&gt;=VLOOKUP($G105,Equipos!$A:$D,4,0),$F105,$G105)))</f>
        <v/>
      </c>
      <c r="I105" s="16">
        <f>IF(OR($F105="",$G105=""),"",IF(ISNUMBER(Resultados!$B76),IF(Resultados!$B76&gt;Resultados!$C76,$G105,IF(Resultados!$C76&gt;Resultados!$B76,$F105,IF(Resultados!$E76&lt;&gt;"",IF(Resultados!$E76=$F105,$G105,$F105),$G105))),IF(VLOOKUP($F105,Equipos!$A:$D,4,0)&gt;=VLOOKUP($G105,Equipos!$A:$D,4,0),$G105,$F105)))</f>
        <v/>
      </c>
      <c r="J105" s="16">
        <f>IF(OR($F105="",$G105=""),"PENDIENTE",IF(ISNUMBER(Resultados!$B76),"REAL","PROYECCIÓN"))</f>
        <v/>
      </c>
      <c r="L105" s="4">
        <f>IFERROR(VLOOKUP("A",$A$89:$G$100,7,0),99)</f>
        <v/>
      </c>
      <c r="M105" s="4">
        <f>IFERROR(VLOOKUP("B",$A$89:$G$100,7,0),99)</f>
        <v/>
      </c>
      <c r="N105" s="4">
        <f>IFERROR(VLOOKUP("C",$A$89:$G$100,7,0),99)</f>
        <v/>
      </c>
      <c r="O105" s="4">
        <f>IFERROR(VLOOKUP("D",$A$89:$G$100,7,0),99)</f>
        <v/>
      </c>
      <c r="P105" s="4">
        <f>IFERROR(VLOOKUP("F",$A$89:$G$100,7,0),99)</f>
        <v/>
      </c>
      <c r="Q105" s="4">
        <f>MIN(L105:P105)</f>
        <v/>
      </c>
    </row>
    <row r="106" ht="15" customHeight="1">
      <c r="A106" s="16" t="n">
        <v>75</v>
      </c>
      <c r="B106" s="16" t="n">
        <v>76</v>
      </c>
      <c r="C106" s="16" t="inlineStr">
        <is>
          <t>R32</t>
        </is>
      </c>
      <c r="D106" s="16" t="inlineStr">
        <is>
          <t>1F</t>
        </is>
      </c>
      <c r="E106" s="16" t="inlineStr">
        <is>
          <t>2C</t>
        </is>
      </c>
      <c r="F106" s="16">
        <f>IFERROR(INDEX($A$40:$A$43,MATCH(1,$J$40:$J$43,0)),"")</f>
        <v/>
      </c>
      <c r="G106" s="16">
        <f>IFERROR(INDEX($A$19:$A$22,MATCH(2,$J$19:$J$22,0)),"")</f>
        <v/>
      </c>
      <c r="H106" s="16">
        <f>IF(OR($F106="",$G106=""),"",IF(ISNUMBER(Resultados!$B77),IF(Resultados!$B77&gt;Resultados!$C77,$F106,IF(Resultados!$C77&gt;Resultados!$B77,$G106,IF(Resultados!$E77&lt;&gt;"",Resultados!$E77,$F106))),IF(VLOOKUP($F106,Equipos!$A:$D,4,0)&gt;=VLOOKUP($G106,Equipos!$A:$D,4,0),$F106,$G106)))</f>
        <v/>
      </c>
      <c r="I106" s="16">
        <f>IF(OR($F106="",$G106=""),"",IF(ISNUMBER(Resultados!$B77),IF(Resultados!$B77&gt;Resultados!$C77,$G106,IF(Resultados!$C77&gt;Resultados!$B77,$F106,IF(Resultados!$E77&lt;&gt;"",IF(Resultados!$E77=$F106,$G106,$F106),$G106))),IF(VLOOKUP($F106,Equipos!$A:$D,4,0)&gt;=VLOOKUP($G106,Equipos!$A:$D,4,0),$G106,$F106)))</f>
        <v/>
      </c>
      <c r="J106" s="16">
        <f>IF(OR($F106="",$G106=""),"PENDIENTE",IF(ISNUMBER(Resultados!$B77),"REAL","PROYECCIÓN"))</f>
        <v/>
      </c>
    </row>
    <row r="107" ht="15" customHeight="1">
      <c r="A107" s="16" t="n">
        <v>76</v>
      </c>
      <c r="B107" s="16" t="n">
        <v>74</v>
      </c>
      <c r="C107" s="16" t="inlineStr">
        <is>
          <t>R32</t>
        </is>
      </c>
      <c r="D107" s="16" t="inlineStr">
        <is>
          <t>1C</t>
        </is>
      </c>
      <c r="E107" s="16" t="inlineStr">
        <is>
          <t>2F</t>
        </is>
      </c>
      <c r="F107" s="16">
        <f>IFERROR(INDEX($A$19:$A$22,MATCH(1,$J$19:$J$22,0)),"")</f>
        <v/>
      </c>
      <c r="G107" s="16">
        <f>IFERROR(INDEX($A$40:$A$43,MATCH(2,$J$40:$J$43,0)),"")</f>
        <v/>
      </c>
      <c r="H107" s="16">
        <f>IF(OR($F107="",$G107=""),"",IF(ISNUMBER(Resultados!$B75),IF(Resultados!$B75&gt;Resultados!$C75,$F107,IF(Resultados!$C75&gt;Resultados!$B75,$G107,IF(Resultados!$E75&lt;&gt;"",Resultados!$E75,$F107))),IF(VLOOKUP($F107,Equipos!$A:$D,4,0)&gt;=VLOOKUP($G107,Equipos!$A:$D,4,0),$F107,$G107)))</f>
        <v/>
      </c>
      <c r="I107" s="16">
        <f>IF(OR($F107="",$G107=""),"",IF(ISNUMBER(Resultados!$B75),IF(Resultados!$B75&gt;Resultados!$C75,$G107,IF(Resultados!$C75&gt;Resultados!$B75,$F107,IF(Resultados!$E75&lt;&gt;"",IF(Resultados!$E75=$F107,$G107,$F107),$G107))),IF(VLOOKUP($F107,Equipos!$A:$D,4,0)&gt;=VLOOKUP($G107,Equipos!$A:$D,4,0),$G107,$F107)))</f>
        <v/>
      </c>
      <c r="J107" s="16">
        <f>IF(OR($F107="",$G107=""),"PENDIENTE",IF(ISNUMBER(Resultados!$B75),"REAL","PROYECCIÓN"))</f>
        <v/>
      </c>
    </row>
    <row r="108" ht="15" customHeight="1">
      <c r="A108" s="16" t="n">
        <v>77</v>
      </c>
      <c r="B108" s="16" t="n">
        <v>78</v>
      </c>
      <c r="C108" s="16" t="inlineStr">
        <is>
          <t>R32</t>
        </is>
      </c>
      <c r="D108" s="16" t="inlineStr">
        <is>
          <t>1I</t>
        </is>
      </c>
      <c r="E108" s="16" t="inlineStr">
        <is>
          <t>3C/D/F/G/H</t>
        </is>
      </c>
      <c r="F108" s="16">
        <f>IFERROR(INDEX($A$61:$A$64,MATCH(1,$J$61:$J$64,0)),"")</f>
        <v/>
      </c>
      <c r="G108" s="16">
        <f>IFERROR(INDEX($B$89:$B$100,MATCH($Q108,$G$89:$G$100,0)),"")</f>
        <v/>
      </c>
      <c r="H108" s="16">
        <f>IF(OR($F108="",$G108=""),"",IF(ISNUMBER(Resultados!$B79),IF(Resultados!$B79&gt;Resultados!$C79,$F108,IF(Resultados!$C79&gt;Resultados!$B79,$G108,IF(Resultados!$E79&lt;&gt;"",Resultados!$E79,$F108))),IF(VLOOKUP($F108,Equipos!$A:$D,4,0)&gt;=VLOOKUP($G108,Equipos!$A:$D,4,0),$F108,$G108)))</f>
        <v/>
      </c>
      <c r="I108" s="16">
        <f>IF(OR($F108="",$G108=""),"",IF(ISNUMBER(Resultados!$B79),IF(Resultados!$B79&gt;Resultados!$C79,$G108,IF(Resultados!$C79&gt;Resultados!$B79,$F108,IF(Resultados!$E79&lt;&gt;"",IF(Resultados!$E79=$F108,$G108,$F108),$G108))),IF(VLOOKUP($F108,Equipos!$A:$D,4,0)&gt;=VLOOKUP($G108,Equipos!$A:$D,4,0),$G108,$F108)))</f>
        <v/>
      </c>
      <c r="J108" s="16">
        <f>IF(OR($F108="",$G108=""),"PENDIENTE",IF(ISNUMBER(Resultados!$B79),"REAL","PROYECCIÓN"))</f>
        <v/>
      </c>
      <c r="L108" s="4">
        <f>IFERROR(VLOOKUP("C",$A$89:$G$100,7,0),99)</f>
        <v/>
      </c>
      <c r="M108" s="4">
        <f>IFERROR(VLOOKUP("D",$A$89:$G$100,7,0),99)</f>
        <v/>
      </c>
      <c r="N108" s="4">
        <f>IFERROR(VLOOKUP("F",$A$89:$G$100,7,0),99)</f>
        <v/>
      </c>
      <c r="O108" s="4">
        <f>IFERROR(VLOOKUP("G",$A$89:$G$100,7,0),99)</f>
        <v/>
      </c>
      <c r="P108" s="4">
        <f>IFERROR(VLOOKUP("H",$A$89:$G$100,7,0),99)</f>
        <v/>
      </c>
      <c r="Q108" s="4">
        <f>MIN(L108:P108)</f>
        <v/>
      </c>
    </row>
    <row r="109" ht="15" customHeight="1">
      <c r="A109" s="16" t="n">
        <v>78</v>
      </c>
      <c r="B109" s="16" t="n">
        <v>77</v>
      </c>
      <c r="C109" s="16" t="inlineStr">
        <is>
          <t>R32</t>
        </is>
      </c>
      <c r="D109" s="16" t="inlineStr">
        <is>
          <t>2E</t>
        </is>
      </c>
      <c r="E109" s="16" t="inlineStr">
        <is>
          <t>2I</t>
        </is>
      </c>
      <c r="F109" s="16">
        <f>IFERROR(INDEX($A$33:$A$36,MATCH(2,$J$33:$J$36,0)),"")</f>
        <v/>
      </c>
      <c r="G109" s="16">
        <f>IFERROR(INDEX($A$61:$A$64,MATCH(2,$J$61:$J$64,0)),"")</f>
        <v/>
      </c>
      <c r="H109" s="16">
        <f>IF(OR($F109="",$G109=""),"",IF(ISNUMBER(Resultados!$B78),IF(Resultados!$B78&gt;Resultados!$C78,$F109,IF(Resultados!$C78&gt;Resultados!$B78,$G109,IF(Resultados!$E78&lt;&gt;"",Resultados!$E78,$F109))),IF(VLOOKUP($F109,Equipos!$A:$D,4,0)&gt;=VLOOKUP($G109,Equipos!$A:$D,4,0),$F109,$G109)))</f>
        <v/>
      </c>
      <c r="I109" s="16">
        <f>IF(OR($F109="",$G109=""),"",IF(ISNUMBER(Resultados!$B78),IF(Resultados!$B78&gt;Resultados!$C78,$G109,IF(Resultados!$C78&gt;Resultados!$B78,$F109,IF(Resultados!$E78&lt;&gt;"",IF(Resultados!$E78=$F109,$G109,$F109),$G109))),IF(VLOOKUP($F109,Equipos!$A:$D,4,0)&gt;=VLOOKUP($G109,Equipos!$A:$D,4,0),$G109,$F109)))</f>
        <v/>
      </c>
      <c r="J109" s="16">
        <f>IF(OR($F109="",$G109=""),"PENDIENTE",IF(ISNUMBER(Resultados!$B78),"REAL","PROYECCIÓN"))</f>
        <v/>
      </c>
    </row>
    <row r="110" ht="15" customHeight="1">
      <c r="A110" s="16" t="n">
        <v>79</v>
      </c>
      <c r="B110" s="16" t="n">
        <v>79</v>
      </c>
      <c r="C110" s="16" t="inlineStr">
        <is>
          <t>R32</t>
        </is>
      </c>
      <c r="D110" s="16" t="inlineStr">
        <is>
          <t>1A</t>
        </is>
      </c>
      <c r="E110" s="16" t="inlineStr">
        <is>
          <t>3C/E/F/H/I</t>
        </is>
      </c>
      <c r="F110" s="16">
        <f>IFERROR(INDEX($A$5:$A$8,MATCH(1,$J$5:$J$8,0)),"")</f>
        <v/>
      </c>
      <c r="G110" s="16">
        <f>IFERROR(INDEX($B$89:$B$100,MATCH($Q110,$G$89:$G$100,0)),"")</f>
        <v/>
      </c>
      <c r="H110" s="16">
        <f>IF(OR($F110="",$G110=""),"",IF(ISNUMBER(Resultados!$B80),IF(Resultados!$B80&gt;Resultados!$C80,$F110,IF(Resultados!$C80&gt;Resultados!$B80,$G110,IF(Resultados!$E80&lt;&gt;"",Resultados!$E80,$F110))),IF(VLOOKUP($F110,Equipos!$A:$D,4,0)&gt;=VLOOKUP($G110,Equipos!$A:$D,4,0),$F110,$G110)))</f>
        <v/>
      </c>
      <c r="I110" s="16">
        <f>IF(OR($F110="",$G110=""),"",IF(ISNUMBER(Resultados!$B80),IF(Resultados!$B80&gt;Resultados!$C80,$G110,IF(Resultados!$C80&gt;Resultados!$B80,$F110,IF(Resultados!$E80&lt;&gt;"",IF(Resultados!$E80=$F110,$G110,$F110),$G110))),IF(VLOOKUP($F110,Equipos!$A:$D,4,0)&gt;=VLOOKUP($G110,Equipos!$A:$D,4,0),$G110,$F110)))</f>
        <v/>
      </c>
      <c r="J110" s="16">
        <f>IF(OR($F110="",$G110=""),"PENDIENTE",IF(ISNUMBER(Resultados!$B80),"REAL","PROYECCIÓN"))</f>
        <v/>
      </c>
      <c r="L110" s="4">
        <f>IFERROR(VLOOKUP("C",$A$89:$G$100,7,0),99)</f>
        <v/>
      </c>
      <c r="M110" s="4">
        <f>IFERROR(VLOOKUP("E",$A$89:$G$100,7,0),99)</f>
        <v/>
      </c>
      <c r="N110" s="4">
        <f>IFERROR(VLOOKUP("F",$A$89:$G$100,7,0),99)</f>
        <v/>
      </c>
      <c r="O110" s="4">
        <f>IFERROR(VLOOKUP("H",$A$89:$G$100,7,0),99)</f>
        <v/>
      </c>
      <c r="P110" s="4">
        <f>IFERROR(VLOOKUP("I",$A$89:$G$100,7,0),99)</f>
        <v/>
      </c>
      <c r="Q110" s="4">
        <f>MIN(L110:P110)</f>
        <v/>
      </c>
    </row>
    <row r="111" ht="15" customHeight="1">
      <c r="A111" s="16" t="n">
        <v>80</v>
      </c>
      <c r="B111" s="16" t="n">
        <v>80</v>
      </c>
      <c r="C111" s="16" t="inlineStr">
        <is>
          <t>R32</t>
        </is>
      </c>
      <c r="D111" s="16" t="inlineStr">
        <is>
          <t>1L</t>
        </is>
      </c>
      <c r="E111" s="16" t="inlineStr">
        <is>
          <t>3E/H/I/J/K</t>
        </is>
      </c>
      <c r="F111" s="16">
        <f>IFERROR(INDEX($A$82:$A$85,MATCH(1,$J$82:$J$85,0)),"")</f>
        <v/>
      </c>
      <c r="G111" s="16">
        <f>IFERROR(INDEX($B$89:$B$100,MATCH($Q111,$G$89:$G$100,0)),"")</f>
        <v/>
      </c>
      <c r="H111" s="16">
        <f>IF(OR($F111="",$G111=""),"",IF(ISNUMBER(Resultados!$B81),IF(Resultados!$B81&gt;Resultados!$C81,$F111,IF(Resultados!$C81&gt;Resultados!$B81,$G111,IF(Resultados!$E81&lt;&gt;"",Resultados!$E81,$F111))),IF(VLOOKUP($F111,Equipos!$A:$D,4,0)&gt;=VLOOKUP($G111,Equipos!$A:$D,4,0),$F111,$G111)))</f>
        <v/>
      </c>
      <c r="I111" s="16">
        <f>IF(OR($F111="",$G111=""),"",IF(ISNUMBER(Resultados!$B81),IF(Resultados!$B81&gt;Resultados!$C81,$G111,IF(Resultados!$C81&gt;Resultados!$B81,$F111,IF(Resultados!$E81&lt;&gt;"",IF(Resultados!$E81=$F111,$G111,$F111),$G111))),IF(VLOOKUP($F111,Equipos!$A:$D,4,0)&gt;=VLOOKUP($G111,Equipos!$A:$D,4,0),$G111,$F111)))</f>
        <v/>
      </c>
      <c r="J111" s="16">
        <f>IF(OR($F111="",$G111=""),"PENDIENTE",IF(ISNUMBER(Resultados!$B81),"REAL","PROYECCIÓN"))</f>
        <v/>
      </c>
      <c r="L111" s="4">
        <f>IFERROR(VLOOKUP("E",$A$89:$G$100,7,0),99)</f>
        <v/>
      </c>
      <c r="M111" s="4">
        <f>IFERROR(VLOOKUP("H",$A$89:$G$100,7,0),99)</f>
        <v/>
      </c>
      <c r="N111" s="4">
        <f>IFERROR(VLOOKUP("I",$A$89:$G$100,7,0),99)</f>
        <v/>
      </c>
      <c r="O111" s="4">
        <f>IFERROR(VLOOKUP("J",$A$89:$G$100,7,0),99)</f>
        <v/>
      </c>
      <c r="P111" s="4">
        <f>IFERROR(VLOOKUP("K",$A$89:$G$100,7,0),99)</f>
        <v/>
      </c>
      <c r="Q111" s="4">
        <f>MIN(L111:P111)</f>
        <v/>
      </c>
    </row>
    <row r="112" ht="15" customHeight="1">
      <c r="A112" s="16" t="n">
        <v>81</v>
      </c>
      <c r="B112" s="16" t="n">
        <v>82</v>
      </c>
      <c r="C112" s="16" t="inlineStr">
        <is>
          <t>R32</t>
        </is>
      </c>
      <c r="D112" s="16" t="inlineStr">
        <is>
          <t>1D</t>
        </is>
      </c>
      <c r="E112" s="16" t="inlineStr">
        <is>
          <t>3B/E/F/I/J</t>
        </is>
      </c>
      <c r="F112" s="16">
        <f>IFERROR(INDEX($A$26:$A$29,MATCH(1,$J$26:$J$29,0)),"")</f>
        <v/>
      </c>
      <c r="G112" s="16">
        <f>IFERROR(INDEX($B$89:$B$100,MATCH($Q112,$G$89:$G$100,0)),"")</f>
        <v/>
      </c>
      <c r="H112" s="16">
        <f>IF(OR($F112="",$G112=""),"",IF(ISNUMBER(Resultados!$B83),IF(Resultados!$B83&gt;Resultados!$C83,$F112,IF(Resultados!$C83&gt;Resultados!$B83,$G112,IF(Resultados!$E83&lt;&gt;"",Resultados!$E83,$F112))),IF(VLOOKUP($F112,Equipos!$A:$D,4,0)&gt;=VLOOKUP($G112,Equipos!$A:$D,4,0),$F112,$G112)))</f>
        <v/>
      </c>
      <c r="I112" s="16">
        <f>IF(OR($F112="",$G112=""),"",IF(ISNUMBER(Resultados!$B83),IF(Resultados!$B83&gt;Resultados!$C83,$G112,IF(Resultados!$C83&gt;Resultados!$B83,$F112,IF(Resultados!$E83&lt;&gt;"",IF(Resultados!$E83=$F112,$G112,$F112),$G112))),IF(VLOOKUP($F112,Equipos!$A:$D,4,0)&gt;=VLOOKUP($G112,Equipos!$A:$D,4,0),$G112,$F112)))</f>
        <v/>
      </c>
      <c r="J112" s="16">
        <f>IF(OR($F112="",$G112=""),"PENDIENTE",IF(ISNUMBER(Resultados!$B83),"REAL","PROYECCIÓN"))</f>
        <v/>
      </c>
      <c r="L112" s="4">
        <f>IFERROR(VLOOKUP("B",$A$89:$G$100,7,0),99)</f>
        <v/>
      </c>
      <c r="M112" s="4">
        <f>IFERROR(VLOOKUP("E",$A$89:$G$100,7,0),99)</f>
        <v/>
      </c>
      <c r="N112" s="4">
        <f>IFERROR(VLOOKUP("F",$A$89:$G$100,7,0),99)</f>
        <v/>
      </c>
      <c r="O112" s="4">
        <f>IFERROR(VLOOKUP("I",$A$89:$G$100,7,0),99)</f>
        <v/>
      </c>
      <c r="P112" s="4">
        <f>IFERROR(VLOOKUP("J",$A$89:$G$100,7,0),99)</f>
        <v/>
      </c>
      <c r="Q112" s="4">
        <f>MIN(L112:P112)</f>
        <v/>
      </c>
    </row>
    <row r="113" ht="15" customHeight="1">
      <c r="A113" s="16" t="n">
        <v>82</v>
      </c>
      <c r="B113" s="16" t="n">
        <v>81</v>
      </c>
      <c r="C113" s="16" t="inlineStr">
        <is>
          <t>R32</t>
        </is>
      </c>
      <c r="D113" s="16" t="inlineStr">
        <is>
          <t>1G</t>
        </is>
      </c>
      <c r="E113" s="16" t="inlineStr">
        <is>
          <t>3A/E/H/I/J</t>
        </is>
      </c>
      <c r="F113" s="16">
        <f>IFERROR(INDEX($A$47:$A$50,MATCH(1,$J$47:$J$50,0)),"")</f>
        <v/>
      </c>
      <c r="G113" s="16">
        <f>IFERROR(INDEX($B$89:$B$100,MATCH($Q113,$G$89:$G$100,0)),"")</f>
        <v/>
      </c>
      <c r="H113" s="16">
        <f>IF(OR($F113="",$G113=""),"",IF(ISNUMBER(Resultados!$B82),IF(Resultados!$B82&gt;Resultados!$C82,$F113,IF(Resultados!$C82&gt;Resultados!$B82,$G113,IF(Resultados!$E82&lt;&gt;"",Resultados!$E82,$F113))),IF(VLOOKUP($F113,Equipos!$A:$D,4,0)&gt;=VLOOKUP($G113,Equipos!$A:$D,4,0),$F113,$G113)))</f>
        <v/>
      </c>
      <c r="I113" s="16">
        <f>IF(OR($F113="",$G113=""),"",IF(ISNUMBER(Resultados!$B82),IF(Resultados!$B82&gt;Resultados!$C82,$G113,IF(Resultados!$C82&gt;Resultados!$B82,$F113,IF(Resultados!$E82&lt;&gt;"",IF(Resultados!$E82=$F113,$G113,$F113),$G113))),IF(VLOOKUP($F113,Equipos!$A:$D,4,0)&gt;=VLOOKUP($G113,Equipos!$A:$D,4,0),$G113,$F113)))</f>
        <v/>
      </c>
      <c r="J113" s="16">
        <f>IF(OR($F113="",$G113=""),"PENDIENTE",IF(ISNUMBER(Resultados!$B82),"REAL","PROYECCIÓN"))</f>
        <v/>
      </c>
      <c r="L113" s="4">
        <f>IFERROR(VLOOKUP("A",$A$89:$G$100,7,0),99)</f>
        <v/>
      </c>
      <c r="M113" s="4">
        <f>IFERROR(VLOOKUP("E",$A$89:$G$100,7,0),99)</f>
        <v/>
      </c>
      <c r="N113" s="4">
        <f>IFERROR(VLOOKUP("H",$A$89:$G$100,7,0),99)</f>
        <v/>
      </c>
      <c r="O113" s="4">
        <f>IFERROR(VLOOKUP("I",$A$89:$G$100,7,0),99)</f>
        <v/>
      </c>
      <c r="P113" s="4">
        <f>IFERROR(VLOOKUP("J",$A$89:$G$100,7,0),99)</f>
        <v/>
      </c>
      <c r="Q113" s="4">
        <f>MIN(L113:P113)</f>
        <v/>
      </c>
    </row>
    <row r="114" ht="15" customHeight="1">
      <c r="A114" s="16" t="n">
        <v>83</v>
      </c>
      <c r="B114" s="16" t="n">
        <v>84</v>
      </c>
      <c r="C114" s="16" t="inlineStr">
        <is>
          <t>R32</t>
        </is>
      </c>
      <c r="D114" s="16" t="inlineStr">
        <is>
          <t>2K</t>
        </is>
      </c>
      <c r="E114" s="16" t="inlineStr">
        <is>
          <t>2L</t>
        </is>
      </c>
      <c r="F114" s="16">
        <f>IFERROR(INDEX($A$75:$A$78,MATCH(2,$J$75:$J$78,0)),"")</f>
        <v/>
      </c>
      <c r="G114" s="16">
        <f>IFERROR(INDEX($A$82:$A$85,MATCH(2,$J$82:$J$85,0)),"")</f>
        <v/>
      </c>
      <c r="H114" s="16">
        <f>IF(OR($F114="",$G114=""),"",IF(ISNUMBER(Resultados!$B85),IF(Resultados!$B85&gt;Resultados!$C85,$F114,IF(Resultados!$C85&gt;Resultados!$B85,$G114,IF(Resultados!$E85&lt;&gt;"",Resultados!$E85,$F114))),IF(VLOOKUP($F114,Equipos!$A:$D,4,0)&gt;=VLOOKUP($G114,Equipos!$A:$D,4,0),$F114,$G114)))</f>
        <v/>
      </c>
      <c r="I114" s="16">
        <f>IF(OR($F114="",$G114=""),"",IF(ISNUMBER(Resultados!$B85),IF(Resultados!$B85&gt;Resultados!$C85,$G114,IF(Resultados!$C85&gt;Resultados!$B85,$F114,IF(Resultados!$E85&lt;&gt;"",IF(Resultados!$E85=$F114,$G114,$F114),$G114))),IF(VLOOKUP($F114,Equipos!$A:$D,4,0)&gt;=VLOOKUP($G114,Equipos!$A:$D,4,0),$G114,$F114)))</f>
        <v/>
      </c>
      <c r="J114" s="16">
        <f>IF(OR($F114="",$G114=""),"PENDIENTE",IF(ISNUMBER(Resultados!$B85),"REAL","PROYECCIÓN"))</f>
        <v/>
      </c>
    </row>
    <row r="115" ht="15" customHeight="1">
      <c r="A115" s="16" t="n">
        <v>84</v>
      </c>
      <c r="B115" s="16" t="n">
        <v>83</v>
      </c>
      <c r="C115" s="16" t="inlineStr">
        <is>
          <t>R32</t>
        </is>
      </c>
      <c r="D115" s="16" t="inlineStr">
        <is>
          <t>1H</t>
        </is>
      </c>
      <c r="E115" s="16" t="inlineStr">
        <is>
          <t>2J</t>
        </is>
      </c>
      <c r="F115" s="16">
        <f>IFERROR(INDEX($A$54:$A$57,MATCH(1,$J$54:$J$57,0)),"")</f>
        <v/>
      </c>
      <c r="G115" s="16">
        <f>IFERROR(INDEX($A$68:$A$71,MATCH(2,$J$68:$J$71,0)),"")</f>
        <v/>
      </c>
      <c r="H115" s="16">
        <f>IF(OR($F115="",$G115=""),"",IF(ISNUMBER(Resultados!$B84),IF(Resultados!$B84&gt;Resultados!$C84,$F115,IF(Resultados!$C84&gt;Resultados!$B84,$G115,IF(Resultados!$E84&lt;&gt;"",Resultados!$E84,$F115))),IF(VLOOKUP($F115,Equipos!$A:$D,4,0)&gt;=VLOOKUP($G115,Equipos!$A:$D,4,0),$F115,$G115)))</f>
        <v/>
      </c>
      <c r="I115" s="16">
        <f>IF(OR($F115="",$G115=""),"",IF(ISNUMBER(Resultados!$B84),IF(Resultados!$B84&gt;Resultados!$C84,$G115,IF(Resultados!$C84&gt;Resultados!$B84,$F115,IF(Resultados!$E84&lt;&gt;"",IF(Resultados!$E84=$F115,$G115,$F115),$G115))),IF(VLOOKUP($F115,Equipos!$A:$D,4,0)&gt;=VLOOKUP($G115,Equipos!$A:$D,4,0),$G115,$F115)))</f>
        <v/>
      </c>
      <c r="J115" s="16">
        <f>IF(OR($F115="",$G115=""),"PENDIENTE",IF(ISNUMBER(Resultados!$B84),"REAL","PROYECCIÓN"))</f>
        <v/>
      </c>
    </row>
    <row r="116" ht="15" customHeight="1">
      <c r="A116" s="16" t="n">
        <v>85</v>
      </c>
      <c r="B116" s="16" t="n">
        <v>85</v>
      </c>
      <c r="C116" s="16" t="inlineStr">
        <is>
          <t>R32</t>
        </is>
      </c>
      <c r="D116" s="16" t="inlineStr">
        <is>
          <t>1B</t>
        </is>
      </c>
      <c r="E116" s="16" t="inlineStr">
        <is>
          <t>3E/F/G/I/J</t>
        </is>
      </c>
      <c r="F116" s="16">
        <f>IFERROR(INDEX($A$12:$A$15,MATCH(1,$J$12:$J$15,0)),"")</f>
        <v/>
      </c>
      <c r="G116" s="16">
        <f>IFERROR(INDEX($B$89:$B$100,MATCH($Q116,$G$89:$G$100,0)),"")</f>
        <v/>
      </c>
      <c r="H116" s="16">
        <f>IF(OR($F116="",$G116=""),"",IF(ISNUMBER(Resultados!$B86),IF(Resultados!$B86&gt;Resultados!$C86,$F116,IF(Resultados!$C86&gt;Resultados!$B86,$G116,IF(Resultados!$E86&lt;&gt;"",Resultados!$E86,$F116))),IF(VLOOKUP($F116,Equipos!$A:$D,4,0)&gt;=VLOOKUP($G116,Equipos!$A:$D,4,0),$F116,$G116)))</f>
        <v/>
      </c>
      <c r="I116" s="16">
        <f>IF(OR($F116="",$G116=""),"",IF(ISNUMBER(Resultados!$B86),IF(Resultados!$B86&gt;Resultados!$C86,$G116,IF(Resultados!$C86&gt;Resultados!$B86,$F116,IF(Resultados!$E86&lt;&gt;"",IF(Resultados!$E86=$F116,$G116,$F116),$G116))),IF(VLOOKUP($F116,Equipos!$A:$D,4,0)&gt;=VLOOKUP($G116,Equipos!$A:$D,4,0),$G116,$F116)))</f>
        <v/>
      </c>
      <c r="J116" s="16">
        <f>IF(OR($F116="",$G116=""),"PENDIENTE",IF(ISNUMBER(Resultados!$B86),"REAL","PROYECCIÓN"))</f>
        <v/>
      </c>
      <c r="L116" s="4">
        <f>IFERROR(VLOOKUP("E",$A$89:$G$100,7,0),99)</f>
        <v/>
      </c>
      <c r="M116" s="4">
        <f>IFERROR(VLOOKUP("F",$A$89:$G$100,7,0),99)</f>
        <v/>
      </c>
      <c r="N116" s="4">
        <f>IFERROR(VLOOKUP("G",$A$89:$G$100,7,0),99)</f>
        <v/>
      </c>
      <c r="O116" s="4">
        <f>IFERROR(VLOOKUP("I",$A$89:$G$100,7,0),99)</f>
        <v/>
      </c>
      <c r="P116" s="4">
        <f>IFERROR(VLOOKUP("J",$A$89:$G$100,7,0),99)</f>
        <v/>
      </c>
      <c r="Q116" s="4">
        <f>MIN(L116:P116)</f>
        <v/>
      </c>
    </row>
    <row r="117" ht="15" customHeight="1">
      <c r="A117" s="16" t="n">
        <v>86</v>
      </c>
      <c r="B117" s="16" t="n">
        <v>87</v>
      </c>
      <c r="C117" s="16" t="inlineStr">
        <is>
          <t>R32</t>
        </is>
      </c>
      <c r="D117" s="16" t="inlineStr">
        <is>
          <t>1J</t>
        </is>
      </c>
      <c r="E117" s="16" t="inlineStr">
        <is>
          <t>2H</t>
        </is>
      </c>
      <c r="F117" s="16">
        <f>IFERROR(INDEX($A$68:$A$71,MATCH(1,$J$68:$J$71,0)),"")</f>
        <v/>
      </c>
      <c r="G117" s="16">
        <f>IFERROR(INDEX($A$54:$A$57,MATCH(2,$J$54:$J$57,0)),"")</f>
        <v/>
      </c>
      <c r="H117" s="16">
        <f>IF(OR($F117="",$G117=""),"",IF(ISNUMBER(Resultados!$B88),IF(Resultados!$B88&gt;Resultados!$C88,$F117,IF(Resultados!$C88&gt;Resultados!$B88,$G117,IF(Resultados!$E88&lt;&gt;"",Resultados!$E88,$F117))),IF(VLOOKUP($F117,Equipos!$A:$D,4,0)&gt;=VLOOKUP($G117,Equipos!$A:$D,4,0),$F117,$G117)))</f>
        <v/>
      </c>
      <c r="I117" s="16">
        <f>IF(OR($F117="",$G117=""),"",IF(ISNUMBER(Resultados!$B88),IF(Resultados!$B88&gt;Resultados!$C88,$G117,IF(Resultados!$C88&gt;Resultados!$B88,$F117,IF(Resultados!$E88&lt;&gt;"",IF(Resultados!$E88=$F117,$G117,$F117),$G117))),IF(VLOOKUP($F117,Equipos!$A:$D,4,0)&gt;=VLOOKUP($G117,Equipos!$A:$D,4,0),$G117,$F117)))</f>
        <v/>
      </c>
      <c r="J117" s="16">
        <f>IF(OR($F117="",$G117=""),"PENDIENTE",IF(ISNUMBER(Resultados!$B88),"REAL","PROYECCIÓN"))</f>
        <v/>
      </c>
    </row>
    <row r="118" ht="15" customHeight="1">
      <c r="A118" s="16" t="n">
        <v>87</v>
      </c>
      <c r="B118" s="16" t="n">
        <v>88</v>
      </c>
      <c r="C118" s="16" t="inlineStr">
        <is>
          <t>R32</t>
        </is>
      </c>
      <c r="D118" s="16" t="inlineStr">
        <is>
          <t>1K</t>
        </is>
      </c>
      <c r="E118" s="16" t="inlineStr">
        <is>
          <t>3D/E/I/J/L</t>
        </is>
      </c>
      <c r="F118" s="16">
        <f>IFERROR(INDEX($A$75:$A$78,MATCH(1,$J$75:$J$78,0)),"")</f>
        <v/>
      </c>
      <c r="G118" s="16">
        <f>IFERROR(INDEX($B$89:$B$100,MATCH($Q118,$G$89:$G$100,0)),"")</f>
        <v/>
      </c>
      <c r="H118" s="16">
        <f>IF(OR($F118="",$G118=""),"",IF(ISNUMBER(Resultados!$B89),IF(Resultados!$B89&gt;Resultados!$C89,$F118,IF(Resultados!$C89&gt;Resultados!$B89,$G118,IF(Resultados!$E89&lt;&gt;"",Resultados!$E89,$F118))),IF(VLOOKUP($F118,Equipos!$A:$D,4,0)&gt;=VLOOKUP($G118,Equipos!$A:$D,4,0),$F118,$G118)))</f>
        <v/>
      </c>
      <c r="I118" s="16">
        <f>IF(OR($F118="",$G118=""),"",IF(ISNUMBER(Resultados!$B89),IF(Resultados!$B89&gt;Resultados!$C89,$G118,IF(Resultados!$C89&gt;Resultados!$B89,$F118,IF(Resultados!$E89&lt;&gt;"",IF(Resultados!$E89=$F118,$G118,$F118),$G118))),IF(VLOOKUP($F118,Equipos!$A:$D,4,0)&gt;=VLOOKUP($G118,Equipos!$A:$D,4,0),$G118,$F118)))</f>
        <v/>
      </c>
      <c r="J118" s="16">
        <f>IF(OR($F118="",$G118=""),"PENDIENTE",IF(ISNUMBER(Resultados!$B89),"REAL","PROYECCIÓN"))</f>
        <v/>
      </c>
      <c r="L118" s="4">
        <f>IFERROR(VLOOKUP("D",$A$89:$G$100,7,0),99)</f>
        <v/>
      </c>
      <c r="M118" s="4">
        <f>IFERROR(VLOOKUP("E",$A$89:$G$100,7,0),99)</f>
        <v/>
      </c>
      <c r="N118" s="4">
        <f>IFERROR(VLOOKUP("I",$A$89:$G$100,7,0),99)</f>
        <v/>
      </c>
      <c r="O118" s="4">
        <f>IFERROR(VLOOKUP("J",$A$89:$G$100,7,0),99)</f>
        <v/>
      </c>
      <c r="P118" s="4">
        <f>IFERROR(VLOOKUP("L",$A$89:$G$100,7,0),99)</f>
        <v/>
      </c>
      <c r="Q118" s="4">
        <f>MIN(L118:P118)</f>
        <v/>
      </c>
    </row>
    <row r="119" ht="15" customHeight="1">
      <c r="A119" s="16" t="n">
        <v>88</v>
      </c>
      <c r="B119" s="16" t="n">
        <v>86</v>
      </c>
      <c r="C119" s="16" t="inlineStr">
        <is>
          <t>R32</t>
        </is>
      </c>
      <c r="D119" s="16" t="inlineStr">
        <is>
          <t>2D</t>
        </is>
      </c>
      <c r="E119" s="16" t="inlineStr">
        <is>
          <t>2G</t>
        </is>
      </c>
      <c r="F119" s="16">
        <f>IFERROR(INDEX($A$26:$A$29,MATCH(2,$J$26:$J$29,0)),"")</f>
        <v/>
      </c>
      <c r="G119" s="16">
        <f>IFERROR(INDEX($A$47:$A$50,MATCH(2,$J$47:$J$50,0)),"")</f>
        <v/>
      </c>
      <c r="H119" s="16">
        <f>IF(OR($F119="",$G119=""),"",IF(ISNUMBER(Resultados!$B87),IF(Resultados!$B87&gt;Resultados!$C87,$F119,IF(Resultados!$C87&gt;Resultados!$B87,$G119,IF(Resultados!$E87&lt;&gt;"",Resultados!$E87,$F119))),IF(VLOOKUP($F119,Equipos!$A:$D,4,0)&gt;=VLOOKUP($G119,Equipos!$A:$D,4,0),$F119,$G119)))</f>
        <v/>
      </c>
      <c r="I119" s="16">
        <f>IF(OR($F119="",$G119=""),"",IF(ISNUMBER(Resultados!$B87),IF(Resultados!$B87&gt;Resultados!$C87,$G119,IF(Resultados!$C87&gt;Resultados!$B87,$F119,IF(Resultados!$E87&lt;&gt;"",IF(Resultados!$E87=$F119,$G119,$F119),$G119))),IF(VLOOKUP($F119,Equipos!$A:$D,4,0)&gt;=VLOOKUP($G119,Equipos!$A:$D,4,0),$G119,$F119)))</f>
        <v/>
      </c>
      <c r="J119" s="16">
        <f>IF(OR($F119="",$G119=""),"PENDIENTE",IF(ISNUMBER(Resultados!$B87),"REAL","PROYECCIÓN"))</f>
        <v/>
      </c>
    </row>
    <row r="120" ht="15" customHeight="1">
      <c r="A120" s="16" t="n">
        <v>89</v>
      </c>
      <c r="B120" s="16" t="n">
        <v>90</v>
      </c>
      <c r="C120" s="16" t="inlineStr">
        <is>
          <t>Octavos</t>
        </is>
      </c>
      <c r="D120" s="16" t="inlineStr">
        <is>
          <t>W74</t>
        </is>
      </c>
      <c r="E120" s="16" t="inlineStr">
        <is>
          <t>W77</t>
        </is>
      </c>
      <c r="F120" s="16">
        <f>$H105</f>
        <v/>
      </c>
      <c r="G120" s="16">
        <f>$H108</f>
        <v/>
      </c>
      <c r="H120" s="16">
        <f>IF(OR($F120="",$G120=""),"",IF(ISNUMBER(Resultados!$B91),IF(Resultados!$B91&gt;Resultados!$C91,$F120,IF(Resultados!$C91&gt;Resultados!$B91,$G120,IF(Resultados!$E91&lt;&gt;"",Resultados!$E91,$F120))),IF(VLOOKUP($F120,Equipos!$A:$D,4,0)&gt;=VLOOKUP($G120,Equipos!$A:$D,4,0),$F120,$G120)))</f>
        <v/>
      </c>
      <c r="I120" s="16">
        <f>IF(OR($F120="",$G120=""),"",IF(ISNUMBER(Resultados!$B91),IF(Resultados!$B91&gt;Resultados!$C91,$G120,IF(Resultados!$C91&gt;Resultados!$B91,$F120,IF(Resultados!$E91&lt;&gt;"",IF(Resultados!$E91=$F120,$G120,$F120),$G120))),IF(VLOOKUP($F120,Equipos!$A:$D,4,0)&gt;=VLOOKUP($G120,Equipos!$A:$D,4,0),$G120,$F120)))</f>
        <v/>
      </c>
      <c r="J120" s="16">
        <f>IF(OR($F120="",$G120=""),"PENDIENTE",IF(ISNUMBER(Resultados!$B91),"REAL","PROYECCIÓN"))</f>
        <v/>
      </c>
    </row>
    <row r="121" ht="15" customHeight="1">
      <c r="A121" s="16" t="n">
        <v>90</v>
      </c>
      <c r="B121" s="16" t="n">
        <v>89</v>
      </c>
      <c r="C121" s="16" t="inlineStr">
        <is>
          <t>Octavos</t>
        </is>
      </c>
      <c r="D121" s="16" t="inlineStr">
        <is>
          <t>W73</t>
        </is>
      </c>
      <c r="E121" s="16" t="inlineStr">
        <is>
          <t>W75</t>
        </is>
      </c>
      <c r="F121" s="16">
        <f>$H104</f>
        <v/>
      </c>
      <c r="G121" s="16">
        <f>$H106</f>
        <v/>
      </c>
      <c r="H121" s="16">
        <f>IF(OR($F121="",$G121=""),"",IF(ISNUMBER(Resultados!$B90),IF(Resultados!$B90&gt;Resultados!$C90,$F121,IF(Resultados!$C90&gt;Resultados!$B90,$G121,IF(Resultados!$E90&lt;&gt;"",Resultados!$E90,$F121))),IF(VLOOKUP($F121,Equipos!$A:$D,4,0)&gt;=VLOOKUP($G121,Equipos!$A:$D,4,0),$F121,$G121)))</f>
        <v/>
      </c>
      <c r="I121" s="16">
        <f>IF(OR($F121="",$G121=""),"",IF(ISNUMBER(Resultados!$B90),IF(Resultados!$B90&gt;Resultados!$C90,$G121,IF(Resultados!$C90&gt;Resultados!$B90,$F121,IF(Resultados!$E90&lt;&gt;"",IF(Resultados!$E90=$F121,$G121,$F121),$G121))),IF(VLOOKUP($F121,Equipos!$A:$D,4,0)&gt;=VLOOKUP($G121,Equipos!$A:$D,4,0),$G121,$F121)))</f>
        <v/>
      </c>
      <c r="J121" s="16">
        <f>IF(OR($F121="",$G121=""),"PENDIENTE",IF(ISNUMBER(Resultados!$B90),"REAL","PROYECCIÓN"))</f>
        <v/>
      </c>
    </row>
    <row r="122" ht="15" customHeight="1">
      <c r="A122" s="16" t="n">
        <v>91</v>
      </c>
      <c r="B122" s="16" t="n">
        <v>91</v>
      </c>
      <c r="C122" s="16" t="inlineStr">
        <is>
          <t>Octavos</t>
        </is>
      </c>
      <c r="D122" s="16" t="inlineStr">
        <is>
          <t>W76</t>
        </is>
      </c>
      <c r="E122" s="16" t="inlineStr">
        <is>
          <t>W78</t>
        </is>
      </c>
      <c r="F122" s="16">
        <f>$H107</f>
        <v/>
      </c>
      <c r="G122" s="16">
        <f>$H109</f>
        <v/>
      </c>
      <c r="H122" s="16">
        <f>IF(OR($F122="",$G122=""),"",IF(ISNUMBER(Resultados!$B92),IF(Resultados!$B92&gt;Resultados!$C92,$F122,IF(Resultados!$C92&gt;Resultados!$B92,$G122,IF(Resultados!$E92&lt;&gt;"",Resultados!$E92,$F122))),IF(VLOOKUP($F122,Equipos!$A:$D,4,0)&gt;=VLOOKUP($G122,Equipos!$A:$D,4,0),$F122,$G122)))</f>
        <v/>
      </c>
      <c r="I122" s="16">
        <f>IF(OR($F122="",$G122=""),"",IF(ISNUMBER(Resultados!$B92),IF(Resultados!$B92&gt;Resultados!$C92,$G122,IF(Resultados!$C92&gt;Resultados!$B92,$F122,IF(Resultados!$E92&lt;&gt;"",IF(Resultados!$E92=$F122,$G122,$F122),$G122))),IF(VLOOKUP($F122,Equipos!$A:$D,4,0)&gt;=VLOOKUP($G122,Equipos!$A:$D,4,0),$G122,$F122)))</f>
        <v/>
      </c>
      <c r="J122" s="16">
        <f>IF(OR($F122="",$G122=""),"PENDIENTE",IF(ISNUMBER(Resultados!$B92),"REAL","PROYECCIÓN"))</f>
        <v/>
      </c>
    </row>
    <row r="123" ht="15" customHeight="1">
      <c r="A123" s="16" t="n">
        <v>92</v>
      </c>
      <c r="B123" s="16" t="n">
        <v>92</v>
      </c>
      <c r="C123" s="16" t="inlineStr">
        <is>
          <t>Octavos</t>
        </is>
      </c>
      <c r="D123" s="16" t="inlineStr">
        <is>
          <t>W79</t>
        </is>
      </c>
      <c r="E123" s="16" t="inlineStr">
        <is>
          <t>W80</t>
        </is>
      </c>
      <c r="F123" s="16">
        <f>$H110</f>
        <v/>
      </c>
      <c r="G123" s="16">
        <f>$H111</f>
        <v/>
      </c>
      <c r="H123" s="16">
        <f>IF(OR($F123="",$G123=""),"",IF(ISNUMBER(Resultados!$B93),IF(Resultados!$B93&gt;Resultados!$C93,$F123,IF(Resultados!$C93&gt;Resultados!$B93,$G123,IF(Resultados!$E93&lt;&gt;"",Resultados!$E93,$F123))),IF(VLOOKUP($F123,Equipos!$A:$D,4,0)&gt;=VLOOKUP($G123,Equipos!$A:$D,4,0),$F123,$G123)))</f>
        <v/>
      </c>
      <c r="I123" s="16">
        <f>IF(OR($F123="",$G123=""),"",IF(ISNUMBER(Resultados!$B93),IF(Resultados!$B93&gt;Resultados!$C93,$G123,IF(Resultados!$C93&gt;Resultados!$B93,$F123,IF(Resultados!$E93&lt;&gt;"",IF(Resultados!$E93=$F123,$G123,$F123),$G123))),IF(VLOOKUP($F123,Equipos!$A:$D,4,0)&gt;=VLOOKUP($G123,Equipos!$A:$D,4,0),$G123,$F123)))</f>
        <v/>
      </c>
      <c r="J123" s="16">
        <f>IF(OR($F123="",$G123=""),"PENDIENTE",IF(ISNUMBER(Resultados!$B93),"REAL","PROYECCIÓN"))</f>
        <v/>
      </c>
    </row>
    <row r="124" ht="15" customHeight="1">
      <c r="A124" s="16" t="n">
        <v>93</v>
      </c>
      <c r="B124" s="16" t="n">
        <v>93</v>
      </c>
      <c r="C124" s="16" t="inlineStr">
        <is>
          <t>Octavos</t>
        </is>
      </c>
      <c r="D124" s="16" t="inlineStr">
        <is>
          <t>W83</t>
        </is>
      </c>
      <c r="E124" s="16" t="inlineStr">
        <is>
          <t>W84</t>
        </is>
      </c>
      <c r="F124" s="16">
        <f>$H114</f>
        <v/>
      </c>
      <c r="G124" s="16">
        <f>$H115</f>
        <v/>
      </c>
      <c r="H124" s="16">
        <f>IF(OR($F124="",$G124=""),"",IF(ISNUMBER(Resultados!$B94),IF(Resultados!$B94&gt;Resultados!$C94,$F124,IF(Resultados!$C94&gt;Resultados!$B94,$G124,IF(Resultados!$E94&lt;&gt;"",Resultados!$E94,$F124))),IF(VLOOKUP($F124,Equipos!$A:$D,4,0)&gt;=VLOOKUP($G124,Equipos!$A:$D,4,0),$F124,$G124)))</f>
        <v/>
      </c>
      <c r="I124" s="16">
        <f>IF(OR($F124="",$G124=""),"",IF(ISNUMBER(Resultados!$B94),IF(Resultados!$B94&gt;Resultados!$C94,$G124,IF(Resultados!$C94&gt;Resultados!$B94,$F124,IF(Resultados!$E94&lt;&gt;"",IF(Resultados!$E94=$F124,$G124,$F124),$G124))),IF(VLOOKUP($F124,Equipos!$A:$D,4,0)&gt;=VLOOKUP($G124,Equipos!$A:$D,4,0),$G124,$F124)))</f>
        <v/>
      </c>
      <c r="J124" s="16">
        <f>IF(OR($F124="",$G124=""),"PENDIENTE",IF(ISNUMBER(Resultados!$B94),"REAL","PROYECCIÓN"))</f>
        <v/>
      </c>
    </row>
    <row r="125" ht="15" customHeight="1">
      <c r="A125" s="16" t="n">
        <v>94</v>
      </c>
      <c r="B125" s="16" t="n">
        <v>94</v>
      </c>
      <c r="C125" s="16" t="inlineStr">
        <is>
          <t>Octavos</t>
        </is>
      </c>
      <c r="D125" s="16" t="inlineStr">
        <is>
          <t>W81</t>
        </is>
      </c>
      <c r="E125" s="16" t="inlineStr">
        <is>
          <t>W82</t>
        </is>
      </c>
      <c r="F125" s="16">
        <f>$H112</f>
        <v/>
      </c>
      <c r="G125" s="16">
        <f>$H113</f>
        <v/>
      </c>
      <c r="H125" s="16">
        <f>IF(OR($F125="",$G125=""),"",IF(ISNUMBER(Resultados!$B95),IF(Resultados!$B95&gt;Resultados!$C95,$F125,IF(Resultados!$C95&gt;Resultados!$B95,$G125,IF(Resultados!$E95&lt;&gt;"",Resultados!$E95,$F125))),IF(VLOOKUP($F125,Equipos!$A:$D,4,0)&gt;=VLOOKUP($G125,Equipos!$A:$D,4,0),$F125,$G125)))</f>
        <v/>
      </c>
      <c r="I125" s="16">
        <f>IF(OR($F125="",$G125=""),"",IF(ISNUMBER(Resultados!$B95),IF(Resultados!$B95&gt;Resultados!$C95,$G125,IF(Resultados!$C95&gt;Resultados!$B95,$F125,IF(Resultados!$E95&lt;&gt;"",IF(Resultados!$E95=$F125,$G125,$F125),$G125))),IF(VLOOKUP($F125,Equipos!$A:$D,4,0)&gt;=VLOOKUP($G125,Equipos!$A:$D,4,0),$G125,$F125)))</f>
        <v/>
      </c>
      <c r="J125" s="16">
        <f>IF(OR($F125="",$G125=""),"PENDIENTE",IF(ISNUMBER(Resultados!$B95),"REAL","PROYECCIÓN"))</f>
        <v/>
      </c>
    </row>
    <row r="126" ht="15" customHeight="1">
      <c r="A126" s="16" t="n">
        <v>95</v>
      </c>
      <c r="B126" s="16" t="n">
        <v>95</v>
      </c>
      <c r="C126" s="16" t="inlineStr">
        <is>
          <t>Octavos</t>
        </is>
      </c>
      <c r="D126" s="16" t="inlineStr">
        <is>
          <t>W86</t>
        </is>
      </c>
      <c r="E126" s="16" t="inlineStr">
        <is>
          <t>W88</t>
        </is>
      </c>
      <c r="F126" s="16">
        <f>$H117</f>
        <v/>
      </c>
      <c r="G126" s="16">
        <f>$H119</f>
        <v/>
      </c>
      <c r="H126" s="16">
        <f>IF(OR($F126="",$G126=""),"",IF(ISNUMBER(Resultados!$B96),IF(Resultados!$B96&gt;Resultados!$C96,$F126,IF(Resultados!$C96&gt;Resultados!$B96,$G126,IF(Resultados!$E96&lt;&gt;"",Resultados!$E96,$F126))),IF(VLOOKUP($F126,Equipos!$A:$D,4,0)&gt;=VLOOKUP($G126,Equipos!$A:$D,4,0),$F126,$G126)))</f>
        <v/>
      </c>
      <c r="I126" s="16">
        <f>IF(OR($F126="",$G126=""),"",IF(ISNUMBER(Resultados!$B96),IF(Resultados!$B96&gt;Resultados!$C96,$G126,IF(Resultados!$C96&gt;Resultados!$B96,$F126,IF(Resultados!$E96&lt;&gt;"",IF(Resultados!$E96=$F126,$G126,$F126),$G126))),IF(VLOOKUP($F126,Equipos!$A:$D,4,0)&gt;=VLOOKUP($G126,Equipos!$A:$D,4,0),$G126,$F126)))</f>
        <v/>
      </c>
      <c r="J126" s="16">
        <f>IF(OR($F126="",$G126=""),"PENDIENTE",IF(ISNUMBER(Resultados!$B96),"REAL","PROYECCIÓN"))</f>
        <v/>
      </c>
    </row>
    <row r="127" ht="15" customHeight="1">
      <c r="A127" s="16" t="n">
        <v>96</v>
      </c>
      <c r="B127" s="16" t="n">
        <v>96</v>
      </c>
      <c r="C127" s="16" t="inlineStr">
        <is>
          <t>Octavos</t>
        </is>
      </c>
      <c r="D127" s="16" t="inlineStr">
        <is>
          <t>W85</t>
        </is>
      </c>
      <c r="E127" s="16" t="inlineStr">
        <is>
          <t>W87</t>
        </is>
      </c>
      <c r="F127" s="16">
        <f>$H116</f>
        <v/>
      </c>
      <c r="G127" s="16">
        <f>$H118</f>
        <v/>
      </c>
      <c r="H127" s="16">
        <f>IF(OR($F127="",$G127=""),"",IF(ISNUMBER(Resultados!$B97),IF(Resultados!$B97&gt;Resultados!$C97,$F127,IF(Resultados!$C97&gt;Resultados!$B97,$G127,IF(Resultados!$E97&lt;&gt;"",Resultados!$E97,$F127))),IF(VLOOKUP($F127,Equipos!$A:$D,4,0)&gt;=VLOOKUP($G127,Equipos!$A:$D,4,0),$F127,$G127)))</f>
        <v/>
      </c>
      <c r="I127" s="16">
        <f>IF(OR($F127="",$G127=""),"",IF(ISNUMBER(Resultados!$B97),IF(Resultados!$B97&gt;Resultados!$C97,$G127,IF(Resultados!$C97&gt;Resultados!$B97,$F127,IF(Resultados!$E97&lt;&gt;"",IF(Resultados!$E97=$F127,$G127,$F127),$G127))),IF(VLOOKUP($F127,Equipos!$A:$D,4,0)&gt;=VLOOKUP($G127,Equipos!$A:$D,4,0),$G127,$F127)))</f>
        <v/>
      </c>
      <c r="J127" s="16">
        <f>IF(OR($F127="",$G127=""),"PENDIENTE",IF(ISNUMBER(Resultados!$B97),"REAL","PROYECCIÓN"))</f>
        <v/>
      </c>
    </row>
    <row r="128" ht="15" customHeight="1">
      <c r="A128" s="16" t="n">
        <v>97</v>
      </c>
      <c r="B128" s="16" t="n">
        <v>97</v>
      </c>
      <c r="C128" s="16" t="inlineStr">
        <is>
          <t>Cuartos</t>
        </is>
      </c>
      <c r="D128" s="16" t="inlineStr">
        <is>
          <t>W89</t>
        </is>
      </c>
      <c r="E128" s="16" t="inlineStr">
        <is>
          <t>W90</t>
        </is>
      </c>
      <c r="F128" s="16">
        <f>$H120</f>
        <v/>
      </c>
      <c r="G128" s="16">
        <f>$H121</f>
        <v/>
      </c>
      <c r="H128" s="16">
        <f>IF(OR($F128="",$G128=""),"",IF(ISNUMBER(Resultados!$B98),IF(Resultados!$B98&gt;Resultados!$C98,$F128,IF(Resultados!$C98&gt;Resultados!$B98,$G128,IF(Resultados!$E98&lt;&gt;"",Resultados!$E98,$F128))),IF(VLOOKUP($F128,Equipos!$A:$D,4,0)&gt;=VLOOKUP($G128,Equipos!$A:$D,4,0),$F128,$G128)))</f>
        <v/>
      </c>
      <c r="I128" s="16">
        <f>IF(OR($F128="",$G128=""),"",IF(ISNUMBER(Resultados!$B98),IF(Resultados!$B98&gt;Resultados!$C98,$G128,IF(Resultados!$C98&gt;Resultados!$B98,$F128,IF(Resultados!$E98&lt;&gt;"",IF(Resultados!$E98=$F128,$G128,$F128),$G128))),IF(VLOOKUP($F128,Equipos!$A:$D,4,0)&gt;=VLOOKUP($G128,Equipos!$A:$D,4,0),$G128,$F128)))</f>
        <v/>
      </c>
      <c r="J128" s="16">
        <f>IF(OR($F128="",$G128=""),"PENDIENTE",IF(ISNUMBER(Resultados!$B98),"REAL","PROYECCIÓN"))</f>
        <v/>
      </c>
    </row>
    <row r="129" ht="15" customHeight="1">
      <c r="A129" s="16" t="n">
        <v>98</v>
      </c>
      <c r="B129" s="16" t="n">
        <v>98</v>
      </c>
      <c r="C129" s="16" t="inlineStr">
        <is>
          <t>Cuartos</t>
        </is>
      </c>
      <c r="D129" s="16" t="inlineStr">
        <is>
          <t>W93</t>
        </is>
      </c>
      <c r="E129" s="16" t="inlineStr">
        <is>
          <t>W94</t>
        </is>
      </c>
      <c r="F129" s="16">
        <f>$H124</f>
        <v/>
      </c>
      <c r="G129" s="16">
        <f>$H125</f>
        <v/>
      </c>
      <c r="H129" s="16">
        <f>IF(OR($F129="",$G129=""),"",IF(ISNUMBER(Resultados!$B99),IF(Resultados!$B99&gt;Resultados!$C99,$F129,IF(Resultados!$C99&gt;Resultados!$B99,$G129,IF(Resultados!$E99&lt;&gt;"",Resultados!$E99,$F129))),IF(VLOOKUP($F129,Equipos!$A:$D,4,0)&gt;=VLOOKUP($G129,Equipos!$A:$D,4,0),$F129,$G129)))</f>
        <v/>
      </c>
      <c r="I129" s="16">
        <f>IF(OR($F129="",$G129=""),"",IF(ISNUMBER(Resultados!$B99),IF(Resultados!$B99&gt;Resultados!$C99,$G129,IF(Resultados!$C99&gt;Resultados!$B99,$F129,IF(Resultados!$E99&lt;&gt;"",IF(Resultados!$E99=$F129,$G129,$F129),$G129))),IF(VLOOKUP($F129,Equipos!$A:$D,4,0)&gt;=VLOOKUP($G129,Equipos!$A:$D,4,0),$G129,$F129)))</f>
        <v/>
      </c>
      <c r="J129" s="16">
        <f>IF(OR($F129="",$G129=""),"PENDIENTE",IF(ISNUMBER(Resultados!$B99),"REAL","PROYECCIÓN"))</f>
        <v/>
      </c>
    </row>
    <row r="130" ht="15" customHeight="1">
      <c r="A130" s="16" t="n">
        <v>99</v>
      </c>
      <c r="B130" s="16" t="n">
        <v>99</v>
      </c>
      <c r="C130" s="16" t="inlineStr">
        <is>
          <t>Cuartos</t>
        </is>
      </c>
      <c r="D130" s="16" t="inlineStr">
        <is>
          <t>W91</t>
        </is>
      </c>
      <c r="E130" s="16" t="inlineStr">
        <is>
          <t>W92</t>
        </is>
      </c>
      <c r="F130" s="16">
        <f>$H122</f>
        <v/>
      </c>
      <c r="G130" s="16">
        <f>$H123</f>
        <v/>
      </c>
      <c r="H130" s="16">
        <f>IF(OR($F130="",$G130=""),"",IF(ISNUMBER(Resultados!$B100),IF(Resultados!$B100&gt;Resultados!$C100,$F130,IF(Resultados!$C100&gt;Resultados!$B100,$G130,IF(Resultados!$E100&lt;&gt;"",Resultados!$E100,$F130))),IF(VLOOKUP($F130,Equipos!$A:$D,4,0)&gt;=VLOOKUP($G130,Equipos!$A:$D,4,0),$F130,$G130)))</f>
        <v/>
      </c>
      <c r="I130" s="16">
        <f>IF(OR($F130="",$G130=""),"",IF(ISNUMBER(Resultados!$B100),IF(Resultados!$B100&gt;Resultados!$C100,$G130,IF(Resultados!$C100&gt;Resultados!$B100,$F130,IF(Resultados!$E100&lt;&gt;"",IF(Resultados!$E100=$F130,$G130,$F130),$G130))),IF(VLOOKUP($F130,Equipos!$A:$D,4,0)&gt;=VLOOKUP($G130,Equipos!$A:$D,4,0),$G130,$F130)))</f>
        <v/>
      </c>
      <c r="J130" s="16">
        <f>IF(OR($F130="",$G130=""),"PENDIENTE",IF(ISNUMBER(Resultados!$B100),"REAL","PROYECCIÓN"))</f>
        <v/>
      </c>
    </row>
    <row r="131" ht="15" customHeight="1">
      <c r="A131" s="16" t="n">
        <v>100</v>
      </c>
      <c r="B131" s="16" t="n">
        <v>100</v>
      </c>
      <c r="C131" s="16" t="inlineStr">
        <is>
          <t>Cuartos</t>
        </is>
      </c>
      <c r="D131" s="16" t="inlineStr">
        <is>
          <t>W95</t>
        </is>
      </c>
      <c r="E131" s="16" t="inlineStr">
        <is>
          <t>W96</t>
        </is>
      </c>
      <c r="F131" s="16">
        <f>$H126</f>
        <v/>
      </c>
      <c r="G131" s="16">
        <f>$H127</f>
        <v/>
      </c>
      <c r="H131" s="16">
        <f>IF(OR($F131="",$G131=""),"",IF(ISNUMBER(Resultados!$B101),IF(Resultados!$B101&gt;Resultados!$C101,$F131,IF(Resultados!$C101&gt;Resultados!$B101,$G131,IF(Resultados!$E101&lt;&gt;"",Resultados!$E101,$F131))),IF(VLOOKUP($F131,Equipos!$A:$D,4,0)&gt;=VLOOKUP($G131,Equipos!$A:$D,4,0),$F131,$G131)))</f>
        <v/>
      </c>
      <c r="I131" s="16">
        <f>IF(OR($F131="",$G131=""),"",IF(ISNUMBER(Resultados!$B101),IF(Resultados!$B101&gt;Resultados!$C101,$G131,IF(Resultados!$C101&gt;Resultados!$B101,$F131,IF(Resultados!$E101&lt;&gt;"",IF(Resultados!$E101=$F131,$G131,$F131),$G131))),IF(VLOOKUP($F131,Equipos!$A:$D,4,0)&gt;=VLOOKUP($G131,Equipos!$A:$D,4,0),$G131,$F131)))</f>
        <v/>
      </c>
      <c r="J131" s="16">
        <f>IF(OR($F131="",$G131=""),"PENDIENTE",IF(ISNUMBER(Resultados!$B101),"REAL","PROYECCIÓN"))</f>
        <v/>
      </c>
    </row>
    <row r="132" ht="15" customHeight="1">
      <c r="A132" s="16" t="n">
        <v>101</v>
      </c>
      <c r="B132" s="16" t="n">
        <v>101</v>
      </c>
      <c r="C132" s="16" t="inlineStr">
        <is>
          <t>Semis</t>
        </is>
      </c>
      <c r="D132" s="16" t="inlineStr">
        <is>
          <t>W97</t>
        </is>
      </c>
      <c r="E132" s="16" t="inlineStr">
        <is>
          <t>W98</t>
        </is>
      </c>
      <c r="F132" s="16">
        <f>$H128</f>
        <v/>
      </c>
      <c r="G132" s="16">
        <f>$H129</f>
        <v/>
      </c>
      <c r="H132" s="16">
        <f>IF(OR($F132="",$G132=""),"",IF(ISNUMBER(Resultados!$B102),IF(Resultados!$B102&gt;Resultados!$C102,$F132,IF(Resultados!$C102&gt;Resultados!$B102,$G132,IF(Resultados!$E102&lt;&gt;"",Resultados!$E102,$F132))),IF(VLOOKUP($F132,Equipos!$A:$D,4,0)&gt;=VLOOKUP($G132,Equipos!$A:$D,4,0),$F132,$G132)))</f>
        <v/>
      </c>
      <c r="I132" s="16">
        <f>IF(OR($F132="",$G132=""),"",IF(ISNUMBER(Resultados!$B102),IF(Resultados!$B102&gt;Resultados!$C102,$G132,IF(Resultados!$C102&gt;Resultados!$B102,$F132,IF(Resultados!$E102&lt;&gt;"",IF(Resultados!$E102=$F132,$G132,$F132),$G132))),IF(VLOOKUP($F132,Equipos!$A:$D,4,0)&gt;=VLOOKUP($G132,Equipos!$A:$D,4,0),$G132,$F132)))</f>
        <v/>
      </c>
      <c r="J132" s="16">
        <f>IF(OR($F132="",$G132=""),"PENDIENTE",IF(ISNUMBER(Resultados!$B102),"REAL","PROYECCIÓN"))</f>
        <v/>
      </c>
    </row>
    <row r="133" ht="15" customHeight="1">
      <c r="A133" s="16" t="n">
        <v>102</v>
      </c>
      <c r="B133" s="16" t="n">
        <v>102</v>
      </c>
      <c r="C133" s="16" t="inlineStr">
        <is>
          <t>Semis</t>
        </is>
      </c>
      <c r="D133" s="16" t="inlineStr">
        <is>
          <t>W99</t>
        </is>
      </c>
      <c r="E133" s="16" t="inlineStr">
        <is>
          <t>W100</t>
        </is>
      </c>
      <c r="F133" s="16">
        <f>$H130</f>
        <v/>
      </c>
      <c r="G133" s="16">
        <f>$H131</f>
        <v/>
      </c>
      <c r="H133" s="16">
        <f>IF(OR($F133="",$G133=""),"",IF(ISNUMBER(Resultados!$B103),IF(Resultados!$B103&gt;Resultados!$C103,$F133,IF(Resultados!$C103&gt;Resultados!$B103,$G133,IF(Resultados!$E103&lt;&gt;"",Resultados!$E103,$F133))),IF(VLOOKUP($F133,Equipos!$A:$D,4,0)&gt;=VLOOKUP($G133,Equipos!$A:$D,4,0),$F133,$G133)))</f>
        <v/>
      </c>
      <c r="I133" s="16">
        <f>IF(OR($F133="",$G133=""),"",IF(ISNUMBER(Resultados!$B103),IF(Resultados!$B103&gt;Resultados!$C103,$G133,IF(Resultados!$C103&gt;Resultados!$B103,$F133,IF(Resultados!$E103&lt;&gt;"",IF(Resultados!$E103=$F133,$G133,$F133),$G133))),IF(VLOOKUP($F133,Equipos!$A:$D,4,0)&gt;=VLOOKUP($G133,Equipos!$A:$D,4,0),$G133,$F133)))</f>
        <v/>
      </c>
      <c r="J133" s="16">
        <f>IF(OR($F133="",$G133=""),"PENDIENTE",IF(ISNUMBER(Resultados!$B103),"REAL","PROYECCIÓN"))</f>
        <v/>
      </c>
    </row>
    <row r="134" ht="15" customHeight="1">
      <c r="A134" s="16" t="n">
        <v>103</v>
      </c>
      <c r="B134" s="16" t="n">
        <v>103</v>
      </c>
      <c r="C134" s="16" t="inlineStr">
        <is>
          <t>3er Puesto</t>
        </is>
      </c>
      <c r="D134" s="16" t="inlineStr">
        <is>
          <t>L101</t>
        </is>
      </c>
      <c r="E134" s="16" t="inlineStr">
        <is>
          <t>L102</t>
        </is>
      </c>
      <c r="F134" s="16">
        <f>$I132</f>
        <v/>
      </c>
      <c r="G134" s="16">
        <f>$I133</f>
        <v/>
      </c>
      <c r="H134" s="16">
        <f>IF(OR($F134="",$G134=""),"",IF(ISNUMBER(Resultados!$B104),IF(Resultados!$B104&gt;Resultados!$C104,$F134,IF(Resultados!$C104&gt;Resultados!$B104,$G134,IF(Resultados!$E104&lt;&gt;"",Resultados!$E104,$F134))),IF(VLOOKUP($F134,Equipos!$A:$D,4,0)&gt;=VLOOKUP($G134,Equipos!$A:$D,4,0),$F134,$G134)))</f>
        <v/>
      </c>
      <c r="I134" s="16">
        <f>IF(OR($F134="",$G134=""),"",IF(ISNUMBER(Resultados!$B104),IF(Resultados!$B104&gt;Resultados!$C104,$G134,IF(Resultados!$C104&gt;Resultados!$B104,$F134,IF(Resultados!$E104&lt;&gt;"",IF(Resultados!$E104=$F134,$G134,$F134),$G134))),IF(VLOOKUP($F134,Equipos!$A:$D,4,0)&gt;=VLOOKUP($G134,Equipos!$A:$D,4,0),$G134,$F134)))</f>
        <v/>
      </c>
      <c r="J134" s="16">
        <f>IF(OR($F134="",$G134=""),"PENDIENTE",IF(ISNUMBER(Resultados!$B104),"REAL","PROYECCIÓN"))</f>
        <v/>
      </c>
    </row>
    <row r="135" ht="15" customHeight="1">
      <c r="A135" s="16" t="n">
        <v>104</v>
      </c>
      <c r="B135" s="16" t="n">
        <v>104</v>
      </c>
      <c r="C135" s="16" t="inlineStr">
        <is>
          <t>Final</t>
        </is>
      </c>
      <c r="D135" s="16" t="inlineStr">
        <is>
          <t>W101</t>
        </is>
      </c>
      <c r="E135" s="16" t="inlineStr">
        <is>
          <t>W102</t>
        </is>
      </c>
      <c r="F135" s="16">
        <f>$H132</f>
        <v/>
      </c>
      <c r="G135" s="16">
        <f>$H133</f>
        <v/>
      </c>
      <c r="H135" s="16">
        <f>IF(OR($F135="",$G135=""),"",IF(ISNUMBER(Resultados!$B105),IF(Resultados!$B105&gt;Resultados!$C105,$F135,IF(Resultados!$C105&gt;Resultados!$B105,$G135,IF(Resultados!$E105&lt;&gt;"",Resultados!$E105,$F135))),IF(VLOOKUP($F135,Equipos!$A:$D,4,0)&gt;=VLOOKUP($G135,Equipos!$A:$D,4,0),$F135,$G135)))</f>
        <v/>
      </c>
      <c r="I135" s="16">
        <f>IF(OR($F135="",$G135=""),"",IF(ISNUMBER(Resultados!$B105),IF(Resultados!$B105&gt;Resultados!$C105,$G135,IF(Resultados!$C105&gt;Resultados!$B105,$F135,IF(Resultados!$E105&lt;&gt;"",IF(Resultados!$E105=$F135,$G135,$F135),$G135))),IF(VLOOKUP($F135,Equipos!$A:$D,4,0)&gt;=VLOOKUP($G135,Equipos!$A:$D,4,0),$G135,$F135)))</f>
        <v/>
      </c>
      <c r="J135" s="16">
        <f>IF(OR($F135="",$G135=""),"PENDIENTE",IF(ISNUMBER(Resultados!$B105),"REAL","PROYECCIÓN"))</f>
        <v/>
      </c>
    </row>
  </sheetData>
  <conditionalFormatting sqref="A89:H100">
    <cfRule type="expression" priority="14" dxfId="0">
      <formula>$H89="Sí"</formula>
    </cfRule>
  </conditionalFormatting>
  <conditionalFormatting sqref="A5:J8">
    <cfRule type="expression" priority="2" dxfId="0">
      <formula>$J5&lt;=2</formula>
    </cfRule>
  </conditionalFormatting>
  <conditionalFormatting sqref="A12:J15">
    <cfRule type="expression" priority="3" dxfId="0">
      <formula>$J12&lt;=2</formula>
    </cfRule>
  </conditionalFormatting>
  <conditionalFormatting sqref="A19:J22">
    <cfRule type="expression" priority="4" dxfId="0">
      <formula>$J19&lt;=2</formula>
    </cfRule>
  </conditionalFormatting>
  <conditionalFormatting sqref="A26:J29">
    <cfRule type="expression" priority="5" dxfId="0">
      <formula>$J26&lt;=2</formula>
    </cfRule>
  </conditionalFormatting>
  <conditionalFormatting sqref="A33:J36">
    <cfRule type="expression" priority="6" dxfId="0">
      <formula>$J33&lt;=2</formula>
    </cfRule>
  </conditionalFormatting>
  <conditionalFormatting sqref="A40:J43">
    <cfRule type="expression" priority="7" dxfId="0">
      <formula>$J40&lt;=2</formula>
    </cfRule>
  </conditionalFormatting>
  <conditionalFormatting sqref="A47:J50">
    <cfRule type="expression" priority="8" dxfId="0">
      <formula>$J47&lt;=2</formula>
    </cfRule>
  </conditionalFormatting>
  <conditionalFormatting sqref="A54:J57">
    <cfRule type="expression" priority="9" dxfId="0">
      <formula>$J54&lt;=2</formula>
    </cfRule>
  </conditionalFormatting>
  <conditionalFormatting sqref="A61:J64">
    <cfRule type="expression" priority="10" dxfId="0">
      <formula>$J61&lt;=2</formula>
    </cfRule>
  </conditionalFormatting>
  <conditionalFormatting sqref="A68:J71">
    <cfRule type="expression" priority="11" dxfId="0">
      <formula>$J68&lt;=2</formula>
    </cfRule>
  </conditionalFormatting>
  <conditionalFormatting sqref="A75:J78">
    <cfRule type="expression" priority="12" dxfId="0">
      <formula>$J75&lt;=2</formula>
    </cfRule>
  </conditionalFormatting>
  <conditionalFormatting sqref="A82:J85">
    <cfRule type="expression" priority="13" dxfId="0">
      <formula>$J82&lt;=2</formula>
    </cfRule>
  </conditionalFormatting>
  <conditionalFormatting sqref="A104:J135">
    <cfRule type="expression" priority="15" dxfId="1">
      <formula>$J104="PROYECCIÓN"</formula>
    </cfRule>
    <cfRule type="expression" priority="16" dxfId="0">
      <formula>$J104="REAL"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D9D9D9"/>
    <outlinePr summaryBelow="1" summaryRight="1"/>
    <pageSetUpPr/>
  </sheetPr>
  <dimension ref="A1:G13"/>
  <sheetViews>
    <sheetView tabSelected="1" zoomScaleNormal="100" workbookViewId="0">
      <selection activeCell="B3" sqref="B3"/>
    </sheetView>
  </sheetViews>
  <sheetFormatPr baseColWidth="10" defaultColWidth="8.6640625" defaultRowHeight="14.25"/>
  <cols>
    <col width="10" customWidth="1" min="1" max="1"/>
    <col width="8" customWidth="1" min="2" max="7"/>
  </cols>
  <sheetData>
    <row r="1" ht="15" customHeight="1">
      <c r="A1" s="5" t="inlineStr">
        <is>
          <t>MATRIZ DE MARCADORES 0–5 × 0–5</t>
        </is>
      </c>
    </row>
    <row r="2" ht="15" customHeight="1">
      <c r="A2" s="7" t="inlineStr">
        <is>
          <t>ID_Partido:</t>
        </is>
      </c>
      <c r="B2" s="17" t="n">
        <v>5</v>
      </c>
      <c r="C2" s="7">
        <f>VLOOKUP($B$2,Fixture!$A:$F,5,0)&amp;" vs "&amp;VLOOKUP($B$2,Fixture!$A:$F,6,0)</f>
        <v/>
      </c>
    </row>
    <row r="3" ht="15" customHeight="1">
      <c r="A3" s="7" t="inlineStr">
        <is>
          <t>λ_A:</t>
        </is>
      </c>
      <c r="B3" s="18">
        <f>INDEX(Modelo!$Z$3:$Z$106,MATCH($B$2,Modelo!$A$3:$A$106,0))</f>
        <v/>
      </c>
      <c r="C3" s="7" t="inlineStr">
        <is>
          <t>λ_B:</t>
        </is>
      </c>
      <c r="D3" s="18">
        <f>INDEX(Modelo!$AA$3:$AA$106,MATCH($B$2,Modelo!$A$3:$A$106,0))</f>
        <v/>
      </c>
    </row>
    <row r="5" ht="15" customHeight="1">
      <c r="A5" s="9" t="inlineStr">
        <is>
          <t>A \ B</t>
        </is>
      </c>
      <c r="B5" s="1" t="n">
        <v>0</v>
      </c>
      <c r="C5" s="1" t="n">
        <v>1</v>
      </c>
      <c r="D5" s="1" t="n">
        <v>2</v>
      </c>
      <c r="E5" s="1" t="n">
        <v>3</v>
      </c>
      <c r="F5" s="1" t="n">
        <v>4</v>
      </c>
      <c r="G5" s="1" t="n">
        <v>5</v>
      </c>
    </row>
    <row r="6" ht="15" customHeight="1">
      <c r="A6" s="1" t="n">
        <v>0</v>
      </c>
      <c r="B6" s="13">
        <f>POISSON(0,$B$3,0)*POISSON(0,$D$3,0)</f>
        <v/>
      </c>
      <c r="C6" s="13">
        <f>POISSON(0,$B$3,0)*POISSON(1,$D$3,0)</f>
        <v/>
      </c>
      <c r="D6" s="13">
        <f>POISSON(0,$B$3,0)*POISSON(2,$D$3,0)</f>
        <v/>
      </c>
      <c r="E6" s="13">
        <f>POISSON(0,$B$3,0)*POISSON(3,$D$3,0)</f>
        <v/>
      </c>
      <c r="F6" s="13">
        <f>POISSON(0,$B$3,0)*POISSON(4,$D$3,0)</f>
        <v/>
      </c>
      <c r="G6" s="13">
        <f>POISSON(0,$B$3,0)*POISSON(5,$D$3,0)</f>
        <v/>
      </c>
    </row>
    <row r="7" ht="15" customHeight="1">
      <c r="A7" s="1" t="n">
        <v>1</v>
      </c>
      <c r="B7" s="13">
        <f>POISSON(1,$B$3,0)*POISSON(0,$D$3,0)</f>
        <v/>
      </c>
      <c r="C7" s="13">
        <f>POISSON(1,$B$3,0)*POISSON(1,$D$3,0)</f>
        <v/>
      </c>
      <c r="D7" s="13">
        <f>POISSON(1,$B$3,0)*POISSON(2,$D$3,0)</f>
        <v/>
      </c>
      <c r="E7" s="13">
        <f>POISSON(1,$B$3,0)*POISSON(3,$D$3,0)</f>
        <v/>
      </c>
      <c r="F7" s="13">
        <f>POISSON(1,$B$3,0)*POISSON(4,$D$3,0)</f>
        <v/>
      </c>
      <c r="G7" s="13">
        <f>POISSON(1,$B$3,0)*POISSON(5,$D$3,0)</f>
        <v/>
      </c>
    </row>
    <row r="8" ht="15" customHeight="1">
      <c r="A8" s="1" t="n">
        <v>2</v>
      </c>
      <c r="B8" s="13">
        <f>POISSON(2,$B$3,0)*POISSON(0,$D$3,0)</f>
        <v/>
      </c>
      <c r="C8" s="13">
        <f>POISSON(2,$B$3,0)*POISSON(1,$D$3,0)</f>
        <v/>
      </c>
      <c r="D8" s="13">
        <f>POISSON(2,$B$3,0)*POISSON(2,$D$3,0)</f>
        <v/>
      </c>
      <c r="E8" s="13">
        <f>POISSON(2,$B$3,0)*POISSON(3,$D$3,0)</f>
        <v/>
      </c>
      <c r="F8" s="13">
        <f>POISSON(2,$B$3,0)*POISSON(4,$D$3,0)</f>
        <v/>
      </c>
      <c r="G8" s="13">
        <f>POISSON(2,$B$3,0)*POISSON(5,$D$3,0)</f>
        <v/>
      </c>
    </row>
    <row r="9" ht="15" customHeight="1">
      <c r="A9" s="1" t="n">
        <v>3</v>
      </c>
      <c r="B9" s="13">
        <f>POISSON(3,$B$3,0)*POISSON(0,$D$3,0)</f>
        <v/>
      </c>
      <c r="C9" s="13">
        <f>POISSON(3,$B$3,0)*POISSON(1,$D$3,0)</f>
        <v/>
      </c>
      <c r="D9" s="13">
        <f>POISSON(3,$B$3,0)*POISSON(2,$D$3,0)</f>
        <v/>
      </c>
      <c r="E9" s="13">
        <f>POISSON(3,$B$3,0)*POISSON(3,$D$3,0)</f>
        <v/>
      </c>
      <c r="F9" s="13">
        <f>POISSON(3,$B$3,0)*POISSON(4,$D$3,0)</f>
        <v/>
      </c>
      <c r="G9" s="13">
        <f>POISSON(3,$B$3,0)*POISSON(5,$D$3,0)</f>
        <v/>
      </c>
    </row>
    <row r="10" ht="15" customHeight="1">
      <c r="A10" s="1" t="n">
        <v>4</v>
      </c>
      <c r="B10" s="13">
        <f>POISSON(4,$B$3,0)*POISSON(0,$D$3,0)</f>
        <v/>
      </c>
      <c r="C10" s="13">
        <f>POISSON(4,$B$3,0)*POISSON(1,$D$3,0)</f>
        <v/>
      </c>
      <c r="D10" s="13">
        <f>POISSON(4,$B$3,0)*POISSON(2,$D$3,0)</f>
        <v/>
      </c>
      <c r="E10" s="13">
        <f>POISSON(4,$B$3,0)*POISSON(3,$D$3,0)</f>
        <v/>
      </c>
      <c r="F10" s="13">
        <f>POISSON(4,$B$3,0)*POISSON(4,$D$3,0)</f>
        <v/>
      </c>
      <c r="G10" s="13">
        <f>POISSON(4,$B$3,0)*POISSON(5,$D$3,0)</f>
        <v/>
      </c>
    </row>
    <row r="11" ht="15" customHeight="1">
      <c r="A11" s="1" t="n">
        <v>5</v>
      </c>
      <c r="B11" s="13">
        <f>POISSON(5,$B$3,0)*POISSON(0,$D$3,0)</f>
        <v/>
      </c>
      <c r="C11" s="13">
        <f>POISSON(5,$B$3,0)*POISSON(1,$D$3,0)</f>
        <v/>
      </c>
      <c r="D11" s="13">
        <f>POISSON(5,$B$3,0)*POISSON(2,$D$3,0)</f>
        <v/>
      </c>
      <c r="E11" s="13">
        <f>POISSON(5,$B$3,0)*POISSON(3,$D$3,0)</f>
        <v/>
      </c>
      <c r="F11" s="13">
        <f>POISSON(5,$B$3,0)*POISSON(4,$D$3,0)</f>
        <v/>
      </c>
      <c r="G11" s="13">
        <f>POISSON(5,$B$3,0)*POISSON(5,$D$3,0)</f>
        <v/>
      </c>
    </row>
    <row r="13" ht="15" customHeight="1">
      <c r="A13" s="4" t="inlineStr">
        <is>
          <t>Residuo (&gt;5 goles): 1 − suma de la matriz =</t>
        </is>
      </c>
      <c r="D13" s="19">
        <f>1-SUM(B6:G11)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2026-06-12T22:45:49Z</dcterms:created>
  <dcterms:modified xsi:type="dcterms:W3CDTF">2026-06-28T22:00:06Z</dcterms:modified>
  <cp:lastModifiedBy>Felipe López Ossandón</cp:lastModifiedBy>
  <cp:revision>0</cp:revision>
</cp:coreProperties>
</file>